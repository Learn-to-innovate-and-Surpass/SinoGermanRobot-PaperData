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b9a4de779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31b88bad76524264"/>
    <x:sheet xmlns:r="http://schemas.openxmlformats.org/officeDocument/2006/relationships" name="5_10_30轮" sheetId="2" r:id="R63e89d5091824ad7"/>
    <x:sheet xmlns:r="http://schemas.openxmlformats.org/officeDocument/2006/relationships" name="轮数预计" sheetId="3" r:id="R7e406a182e214e08"/>
    <x:sheet xmlns:r="http://schemas.openxmlformats.org/officeDocument/2006/relationships" name="实机与概率" sheetId="4" r:id="Rb28c6b5085a940ee"/>
    <x:sheet xmlns:r="http://schemas.openxmlformats.org/officeDocument/2006/relationships" name="实机记录" sheetId="5" r:id="Rf1e37d579c044cfc"/>
    <x:sheet xmlns:r="http://schemas.openxmlformats.org/officeDocument/2006/relationships" name="汇总来源" sheetId="6" r:id="Rfa2f0af62c8f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0000"/>
    <x:numFmt numFmtId="201" formatCode="0.0%"/>
    <x:numFmt numFmtId="202" formatCode="0.000"/>
    <x:numFmt numFmtId="203" formatCode="0%"/>
    <x:numFmt numFmtId="204" formatCode="0.0000%"/>
    <x:numFmt numFmtId="205" formatCode="0.000000E+00"/>
    <x:numFmt numFmtId="206" formatCode="0.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FFFFFF"/>
      <x:name val="Arial"/>
    </x:font>
    <x:font>
      <x:sz val="9"/>
      <x:color rgb="FF24313B"/>
      <x:name val="Arial"/>
    </x:font>
    <x:font>
      <x:b/>
      <x:sz val="10"/>
      <x:color rgb="FF2431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776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8876641104c54" /><Relationship Type="http://schemas.openxmlformats.org/officeDocument/2006/relationships/theme" Target="/xl/theme/theme1.xml" Id="R52a925c430124368" /><Relationship Type="http://schemas.openxmlformats.org/officeDocument/2006/relationships/sharedStrings" Target="/xl/sharedStrings.xml" Id="R125ee1e2ce8b4eed" /><Relationship Type="http://schemas.openxmlformats.org/officeDocument/2006/relationships/worksheet" Target="/xl/worksheets/sheet1.xml" Id="R31b88bad76524264" /><Relationship Type="http://schemas.openxmlformats.org/officeDocument/2006/relationships/worksheet" Target="/xl/worksheets/sheet2.xml" Id="R63e89d5091824ad7" /><Relationship Type="http://schemas.openxmlformats.org/officeDocument/2006/relationships/worksheet" Target="/xl/worksheets/sheet3.xml" Id="R7e406a182e214e08" /><Relationship Type="http://schemas.openxmlformats.org/officeDocument/2006/relationships/worksheet" Target="/xl/worksheets/sheet4.xml" Id="Rb28c6b5085a940ee" /><Relationship Type="http://schemas.openxmlformats.org/officeDocument/2006/relationships/worksheet" Target="/xl/worksheets/sheet5.xml" Id="Rf1e37d579c044cfc" /><Relationship Type="http://schemas.openxmlformats.org/officeDocument/2006/relationships/worksheet" Target="/xl/worksheets/sheet6.xml" Id="Rfa2f0af62c8f45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af1e98ba2e4f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582e8ec8cea441d" /><Relationship Type="http://schemas.openxmlformats.org/officeDocument/2006/relationships/chart" Target="/xl/drawings/charts/chart3.xml" Id="R100b8b1ef22e45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Pass definitions by dataset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Geometry G</c:v>
          </c:tx>
          <c:spPr>
            <a:solidFill xmlns:a="http://schemas.openxmlformats.org/drawingml/2006/main">
              <a:srgbClr val="356A9A"/>
            </a:solidFill>
          </c:spPr>
          <c:invertIfNegative val="0"/>
          <c:cat>
            <c:strRef>
              <c:f>'结果总览'!$A$23:$A$25</c:f>
              <c:strCache>
                <c:ptCount val="0"/>
              </c:strCache>
            </c:strRef>
          </c:cat>
          <c:val>
            <c:numRef>
              <c:f>'结果总览'!$B$23:$B$25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Geometry and feature G∩F</c:v>
          </c:tx>
          <c:spPr>
            <a:solidFill xmlns:a="http://schemas.openxmlformats.org/drawingml/2006/main">
              <a:srgbClr val="458567"/>
            </a:solidFill>
          </c:spPr>
          <c:invertIfNegative val="0"/>
          <c:cat>
            <c:strRef>
              <c:f>'结果总览'!$A$23:$A$25</c:f>
              <c:strCache>
                <c:ptCount val="0"/>
              </c:strCache>
            </c:strRef>
          </c:cat>
          <c:val>
            <c:numRef>
              <c:f>'结果总览'!$C$23:$C$25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Strict source</c:v>
          </c:tx>
          <c:spPr>
            <a:solidFill xmlns:a="http://schemas.openxmlformats.org/drawingml/2006/main">
              <a:srgbClr val="D18B3D"/>
            </a:solidFill>
          </c:spPr>
          <c:invertIfNegative val="0"/>
          <c:cat>
            <c:strRef>
              <c:f>'结果总览'!$A$23:$A$25</c:f>
              <c:strCache>
                <c:ptCount val="0"/>
              </c:strCache>
            </c:strRef>
          </c:cat>
          <c:val>
            <c:numRef>
              <c:f>'结果总览'!$D$23:$D$25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S1000 confirmed geometric pass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VI.3 S1000</c:v>
          </c:tx>
          <c:spPr>
            <a:solidFill xmlns:a="http://schemas.openxmlformats.org/drawingml/2006/main">
              <a:srgbClr val="356A9A"/>
            </a:solidFill>
            <a:ln xmlns:a="http://schemas.openxmlformats.org/drawingml/2006/main" w="19050">
              <a:solidFill>
                <a:srgbClr val="356A9A"/>
              </a:solidFill>
              <a:prstDash val="solid"/>
            </a:ln>
          </c:spPr>
          <c:marker>
            <c:symbol val="none"/>
          </c:marker>
          <c:cat>
            <c:strRef>
              <c:f>'5_10_30轮'!$A$29:$A$31</c:f>
              <c:strCache>
                <c:ptCount val="0"/>
              </c:strCache>
            </c:strRef>
          </c:cat>
          <c:val>
            <c:numRef>
              <c:f>'5_10_30轮'!$B$29:$B$31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VI.1 S1000</c:v>
          </c:tx>
          <c:spPr>
            <a:solidFill xmlns:a="http://schemas.openxmlformats.org/drawingml/2006/main">
              <a:srgbClr val="458567"/>
            </a:solidFill>
            <a:ln xmlns:a="http://schemas.openxmlformats.org/drawingml/2006/main" w="19050">
              <a:solidFill>
                <a:srgbClr val="458567"/>
              </a:solidFill>
              <a:prstDash val="solid"/>
            </a:ln>
          </c:spPr>
          <c:marker>
            <c:symbol val="none"/>
          </c:marker>
          <c:cat>
            <c:strRef>
              <c:f>'5_10_30轮'!$A$29:$A$31</c:f>
              <c:strCache>
                <c:ptCount val="0"/>
              </c:strCache>
            </c:strRef>
          </c:cat>
          <c:val>
            <c:numRef>
              <c:f>'5_10_30轮'!$C$29:$C$31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Random1000 confirmed geometric pass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M3 current Random1000</c:v>
          </c:tx>
          <c:spPr>
            <a:solidFill xmlns:a="http://schemas.openxmlformats.org/drawingml/2006/main">
              <a:srgbClr val="356A9A"/>
            </a:solidFill>
            <a:ln xmlns:a="http://schemas.openxmlformats.org/drawingml/2006/main" w="19050">
              <a:solidFill>
                <a:srgbClr val="356A9A"/>
              </a:solidFill>
              <a:prstDash val="solid"/>
            </a:ln>
          </c:spPr>
          <c:marker>
            <c:symbol val="none"/>
          </c:marker>
          <c:cat>
            <c:strRef>
              <c:f>'5_10_30轮'!$A$35:$A$37</c:f>
              <c:strCache>
                <c:ptCount val="0"/>
              </c:strCache>
            </c:strRef>
          </c:cat>
          <c:val>
            <c:numRef>
              <c:f>'5_10_30轮'!$B$35:$B$37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M1 current Random1000</c:v>
          </c:tx>
          <c:spPr>
            <a:solidFill xmlns:a="http://schemas.openxmlformats.org/drawingml/2006/main">
              <a:srgbClr val="458567"/>
            </a:solidFill>
            <a:ln xmlns:a="http://schemas.openxmlformats.org/drawingml/2006/main" w="19050">
              <a:solidFill>
                <a:srgbClr val="458567"/>
              </a:solidFill>
              <a:prstDash val="solid"/>
            </a:ln>
          </c:spPr>
          <c:marker>
            <c:symbol val="none"/>
          </c:marker>
          <c:cat>
            <c:strRef>
              <c:f>'5_10_30轮'!$A$35:$A$37</c:f>
              <c:strCache>
                <c:ptCount val="0"/>
              </c:strCache>
            </c:strRef>
          </c:cat>
          <c:val>
            <c:numRef>
              <c:f>'5_10_30轮'!$C$35:$C$37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21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af1e98ba2e4f9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82e8ec8cea441d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0b8b1ef22e45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able0" displayName="Table0" ref="A5:J19" headerRowCount="1" totalsRowCount="0" totalsRowShown="0">
  <x:tableColumns count="10">
    <x:tableColumn id="1" name="阶段"/>
    <x:tableColumn id="2" name="数据集"/>
    <x:tableColumn id="3" name="方法"/>
    <x:tableColumn id="4" name="计划数"/>
    <x:tableColumn id="5" name="几何通过"/>
    <x:tableColumn id="6" name="几何率"/>
    <x:tableColumn id="7" name="几何且特征"/>
    <x:tableColumn id="8" name="联合率"/>
    <x:tableColumn id="9" name="严格S"/>
    <x:tableColumn id="10" name="严格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able1" displayName="Table1" ref="A5:N25" headerRowCount="1" totalsRowCount="0" totalsRowShown="0">
  <x:tableColumns count="14">
    <x:tableColumn id="1" name="阶段"/>
    <x:tableColumn id="2" name="数据集"/>
    <x:tableColumn id="3" name="方法"/>
    <x:tableColumn id="4" name="预算轮数K"/>
    <x:tableColumn id="5" name="计划数"/>
    <x:tableColumn id="6" name="观察数"/>
    <x:tableColumn id="7" name="确认通过数"/>
    <x:tableColumn id="8" name="确认通过/计划"/>
    <x:tableColumn id="9" name="通过/已观察"/>
    <x:tableColumn id="10" name="未观察数"/>
    <x:tableColumn id="11" name="研究特征数"/>
    <x:tableColumn id="12" name="严格S数"/>
    <x:tableColumn id="13" name="平均耗时s"/>
    <x:tableColumn id="14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able2" displayName="Table2" ref="A5:F17" headerRowCount="1" totalsRowCount="0" totalsRowShown="0">
  <x:tableColumns count="6">
    <x:tableColumn id="1" name="数据集"/>
    <x:tableColumn id="2" name="目标通过率"/>
    <x:tableColumn id="3" name="首个已检查达标预算"/>
    <x:tableColumn id="4" name="未来预计轮数"/>
    <x:tableColumn id="5" name="观测结论"/>
    <x:tableColumn id="6" name="总体100%保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Table3" displayName="Table3" ref="A13:E17" headerRowCount="1" totalsRowCount="0" totalsRowShown="0">
  <x:tableColumns count="5">
    <x:tableColumn id="1" name="条件事件"/>
    <x:tableColumn id="2" name="要求全成功小步n"/>
    <x:tableColumn id="3" name="点估计p_R^n"/>
    <x:tableColumn id="4" name="区间下限变换"/>
    <x:tableColumn id="5" name="区间上限变换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5:I15" headerRowCount="1" totalsRowCount="0" totalsRowShown="0">
  <x:tableColumns count="9">
    <x:tableColumn id="1" name="样本ID"/>
    <x:tableColumn id="2" name="计划小步"/>
    <x:tableColumn id="3" name="重试口径完成小步"/>
    <x:tableColumn id="4" name="完整轨迹完成"/>
    <x:tableColumn id="5" name="首次通过小步"/>
    <x:tableColumn id="6" name="重试情况"/>
    <x:tableColumn id="7" name="操作者备注"/>
    <x:tableColumn id="8" name="证据限制"/>
    <x:tableColumn id="9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Table5" displayName="Table5" ref="A5:I19" headerRowCount="1" totalsRowCount="0" totalsRowShown="0">
  <x:tableColumns count="9">
    <x:tableColumn id="1" name="阶段"/>
    <x:tableColumn id="2" name="数据集"/>
    <x:tableColumn id="3" name="方法"/>
    <x:tableColumn id="4" name="计划数"/>
    <x:tableColumn id="5" name="几何通过数"/>
    <x:tableColumn id="6" name="几何且特征数"/>
    <x:tableColumn id="7" name="严格S通过数"/>
    <x:tableColumn id="8" name="适用范围"/>
    <x:tableColumn id="9" name="项目内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baf4e226774616" /><Relationship Type="http://schemas.openxmlformats.org/officeDocument/2006/relationships/table" Target="/xl/tables/table1.xml" Id="R7a662f816a784c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7ed453341a54896" /><Relationship Type="http://schemas.openxmlformats.org/officeDocument/2006/relationships/table" Target="/xl/tables/table2.xml" Id="R15991fce874649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d3fa30cff84d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306871839b4d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d4d34bb952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9e2532871643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第四版论文综合比较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2" t="str">
        <x:v>S1000几何通过1000/1000；完全随机当前场景最佳65/1000。两类数据不能互换分母。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7" t="str">
        <x:v>阶段</x:v>
      </x:c>
      <x:c r="B5" s="7" t="str">
        <x:v>数据集</x:v>
      </x:c>
      <x:c r="C5" s="7" t="str">
        <x:v>方法</x:v>
      </x:c>
      <x:c r="D5" s="7" t="str">
        <x:v>计划数</x:v>
      </x:c>
      <x:c r="E5" s="7" t="str">
        <x:v>几何通过</x:v>
      </x:c>
      <x:c r="F5" s="7" t="str">
        <x:v>几何率</x:v>
      </x:c>
      <x:c r="G5" s="7" t="str">
        <x:v>几何且特征</x:v>
      </x:c>
      <x:c r="H5" s="7" t="str">
        <x:v>联合率</x:v>
      </x:c>
      <x:c r="I5" s="7" t="str">
        <x:v>严格S</x:v>
      </x:c>
      <x:c r="J5" s="7" t="str">
        <x:v>严格率</x:v>
      </x:c>
      <x:c r="K5" s="2"/>
      <x:c r="L5" s="2"/>
      <x:c r="M5" s="2"/>
      <x:c r="N5" s="2"/>
      <x:c r="O5" s="2"/>
      <x:c r="P5" s="2"/>
    </x:row>
    <x:row r="6" ht="28" customHeight="1">
      <x:c r="A6" s="8" t="str">
        <x:v>VI.1</x:v>
      </x:c>
      <x:c r="B6" s="8" t="str">
        <x:v>S1000</x:v>
      </x:c>
      <x:c r="C6" s="8" t="str">
        <x:v>原始输入</x:v>
      </x:c>
      <x:c r="D6" s="14" t="n">
        <x:f>'汇总来源'!D6</x:f>
        <x:v>1000</x:v>
      </x:c>
      <x:c r="E6" s="14" t="n">
        <x:f>'汇总来源'!E6</x:f>
        <x:v>0</x:v>
      </x:c>
      <x:c r="F6" s="15" t="n">
        <x:f>E6/D6</x:f>
        <x:v>0</x:v>
      </x:c>
      <x:c r="G6" s="14" t="n">
        <x:f>'汇总来源'!F6</x:f>
        <x:v>0</x:v>
      </x:c>
      <x:c r="H6" s="15" t="n">
        <x:f>IF(ISNUMBER(G6),G6/D6,"未测量")</x:f>
        <x:v>0</x:v>
      </x:c>
      <x:c r="I6" s="14" t="n">
        <x:f>'汇总来源'!G6</x:f>
        <x:v>0</x:v>
      </x:c>
      <x:c r="J6" s="15" t="n">
        <x:f>IF(ISNUMBER(I6),I6/D6,"不适用")</x:f>
        <x:v>0</x:v>
      </x:c>
      <x:c r="K6" s="2"/>
      <x:c r="L6" s="2"/>
      <x:c r="M6" s="2"/>
      <x:c r="N6" s="2"/>
      <x:c r="O6" s="2"/>
      <x:c r="P6" s="2"/>
    </x:row>
    <x:row r="7" ht="28" customHeight="1">
      <x:c r="A7" s="9" t="str">
        <x:v>VI.1</x:v>
      </x:c>
      <x:c r="B7" s="9" t="str">
        <x:v>S1000</x:v>
      </x:c>
      <x:c r="C7" s="9" t="str">
        <x:v>旧候选搜索180°</x:v>
      </x:c>
      <x:c r="D7" s="16" t="n">
        <x:f>'汇总来源'!D7</x:f>
        <x:v>1000</x:v>
      </x:c>
      <x:c r="E7" s="16" t="n">
        <x:f>'汇总来源'!E7</x:f>
        <x:v>237</x:v>
      </x:c>
      <x:c r="F7" s="17" t="n">
        <x:f>E7/D7</x:f>
        <x:v>0.237</x:v>
      </x:c>
      <x:c r="G7" s="16" t="str">
        <x:f>"未测量"</x:f>
        <x:v>未测量</x:v>
      </x:c>
      <x:c r="H7" s="17" t="str">
        <x:f>IF(ISNUMBER(G7),G7/D7,"未测量")</x:f>
        <x:v>未测量</x:v>
      </x:c>
      <x:c r="I7" s="16" t="n">
        <x:f>'汇总来源'!G7</x:f>
        <x:v>0</x:v>
      </x:c>
      <x:c r="J7" s="17" t="n">
        <x:f>IF(ISNUMBER(I7),I7/D7,"不适用")</x:f>
        <x:v>0</x:v>
      </x:c>
      <x:c r="K7" s="2"/>
      <x:c r="L7" s="2"/>
      <x:c r="M7" s="2"/>
      <x:c r="N7" s="2"/>
      <x:c r="O7" s="2"/>
      <x:c r="P7" s="2"/>
    </x:row>
    <x:row r="8" ht="28" customHeight="1">
      <x:c r="A8" s="8" t="str">
        <x:v>VI.1</x:v>
      </x:c>
      <x:c r="B8" s="8" t="str">
        <x:v>S1000</x:v>
      </x:c>
      <x:c r="C8" s="8" t="str">
        <x:v>最近双关节30轮</x:v>
      </x:c>
      <x:c r="D8" s="14" t="n">
        <x:f>'汇总来源'!D8</x:f>
        <x:v>1000</x:v>
      </x:c>
      <x:c r="E8" s="14" t="n">
        <x:f>'汇总来源'!E8</x:f>
        <x:v>0</x:v>
      </x:c>
      <x:c r="F8" s="15" t="n">
        <x:f>E8/D8</x:f>
        <x:v>0</x:v>
      </x:c>
      <x:c r="G8" s="14" t="str">
        <x:f>"未测量"</x:f>
        <x:v>未测量</x:v>
      </x:c>
      <x:c r="H8" s="15" t="str">
        <x:f>IF(ISNUMBER(G8),G8/D8,"未测量")</x:f>
        <x:v>未测量</x:v>
      </x:c>
      <x:c r="I8" s="14" t="n">
        <x:f>'汇总来源'!G8</x:f>
        <x:v>0</x:v>
      </x:c>
      <x:c r="J8" s="15" t="n">
        <x:f>IF(ISNUMBER(I8),I8/D8,"不适用")</x:f>
        <x:v>0</x:v>
      </x:c>
      <x:c r="K8" s="2"/>
      <x:c r="L8" s="2"/>
      <x:c r="M8" s="2"/>
      <x:c r="N8" s="2"/>
      <x:c r="O8" s="2"/>
      <x:c r="P8" s="2"/>
    </x:row>
    <x:row r="9" ht="28" customHeight="1">
      <x:c r="A9" s="9" t="str">
        <x:v>VI.2</x:v>
      </x:c>
      <x:c r="B9" s="9" t="str">
        <x:v>S1000</x:v>
      </x:c>
      <x:c r="C9" s="9" t="str">
        <x:v>冻结分级级联</x:v>
      </x:c>
      <x:c r="D9" s="16" t="n">
        <x:f>'汇总来源'!D9</x:f>
        <x:v>1000</x:v>
      </x:c>
      <x:c r="E9" s="16" t="n">
        <x:f>'汇总来源'!E9</x:f>
        <x:v>426</x:v>
      </x:c>
      <x:c r="F9" s="17" t="n">
        <x:f>E9/D9</x:f>
        <x:v>0.426</x:v>
      </x:c>
      <x:c r="G9" s="16" t="str">
        <x:f>"未测量"</x:f>
        <x:v>未测量</x:v>
      </x:c>
      <x:c r="H9" s="17" t="str">
        <x:f>IF(ISNUMBER(G9),G9/D9,"未测量")</x:f>
        <x:v>未测量</x:v>
      </x:c>
      <x:c r="I9" s="16" t="n">
        <x:f>'汇总来源'!G9</x:f>
        <x:v>0</x:v>
      </x:c>
      <x:c r="J9" s="17" t="n">
        <x:f>IF(ISNUMBER(I9),I9/D9,"不适用")</x:f>
        <x:v>0</x:v>
      </x:c>
      <x:c r="K9" s="2"/>
      <x:c r="L9" s="2"/>
      <x:c r="M9" s="2"/>
      <x:c r="N9" s="2"/>
      <x:c r="O9" s="2"/>
      <x:c r="P9" s="2"/>
    </x:row>
    <x:row r="10" ht="28" customHeight="1">
      <x:c r="A10" s="8" t="str">
        <x:v>VI.2</x:v>
      </x:c>
      <x:c r="B10" s="8" t="str">
        <x:v>S1000</x:v>
      </x:c>
      <x:c r="C10" s="8" t="str">
        <x:v>历史候选事后并集</x:v>
      </x:c>
      <x:c r="D10" s="14" t="n">
        <x:f>'汇总来源'!D10</x:f>
        <x:v>1000</x:v>
      </x:c>
      <x:c r="E10" s="14" t="n">
        <x:f>'汇总来源'!E10</x:f>
        <x:v>562</x:v>
      </x:c>
      <x:c r="F10" s="15" t="n">
        <x:f>E10/D10</x:f>
        <x:v>0.562</x:v>
      </x:c>
      <x:c r="G10" s="14" t="str">
        <x:f>"未测量"</x:f>
        <x:v>未测量</x:v>
      </x:c>
      <x:c r="H10" s="15" t="str">
        <x:f>IF(ISNUMBER(G10),G10/D10,"未测量")</x:f>
        <x:v>未测量</x:v>
      </x:c>
      <x:c r="I10" s="14" t="n">
        <x:f>'汇总来源'!G10</x:f>
        <x:v>0</x:v>
      </x:c>
      <x:c r="J10" s="15" t="n">
        <x:f>IF(ISNUMBER(I10),I10/D10,"不适用")</x:f>
        <x:v>0</x:v>
      </x:c>
      <x:c r="K10" s="2"/>
      <x:c r="L10" s="2"/>
      <x:c r="M10" s="2"/>
      <x:c r="N10" s="2"/>
      <x:c r="O10" s="2"/>
      <x:c r="P10" s="2"/>
    </x:row>
    <x:row r="11" ht="28" customHeight="1">
      <x:c r="A11" s="9" t="str">
        <x:v>VI.3</x:v>
      </x:c>
      <x:c r="B11" s="9" t="str">
        <x:v>S1000</x:v>
      </x:c>
      <x:c r="C11" s="9" t="str">
        <x:v>共同偏置加局部组合</x:v>
      </x:c>
      <x:c r="D11" s="16" t="n">
        <x:f>'汇总来源'!D11</x:f>
        <x:v>1000</x:v>
      </x:c>
      <x:c r="E11" s="16" t="n">
        <x:f>'汇总来源'!E11</x:f>
        <x:v>1000</x:v>
      </x:c>
      <x:c r="F11" s="17" t="n">
        <x:f>E11/D11</x:f>
        <x:v>1</x:v>
      </x:c>
      <x:c r="G11" s="16" t="n">
        <x:f>'汇总来源'!F11</x:f>
        <x:v>400</x:v>
      </x:c>
      <x:c r="H11" s="17" t="n">
        <x:f>IF(ISNUMBER(G11),G11/D11,"未测量")</x:f>
        <x:v>0.4</x:v>
      </x:c>
      <x:c r="I11" s="16" t="n">
        <x:f>'汇总来源'!G11</x:f>
        <x:v>0</x:v>
      </x:c>
      <x:c r="J11" s="17" t="n">
        <x:f>IF(ISNUMBER(I11),I11/D11,"不适用")</x:f>
        <x:v>0</x:v>
      </x:c>
      <x:c r="K11" s="2"/>
      <x:c r="L11" s="2"/>
      <x:c r="M11" s="2"/>
      <x:c r="N11" s="2"/>
      <x:c r="O11" s="2"/>
      <x:c r="P11" s="2"/>
    </x:row>
    <x:row r="12" ht="28" customHeight="1">
      <x:c r="A12" s="8" t="str">
        <x:v>VI.3</x:v>
      </x:c>
      <x:c r="B12" s="8" t="str">
        <x:v>B200</x:v>
      </x:c>
      <x:c r="C12" s="8" t="str">
        <x:v>同源新变体</x:v>
      </x:c>
      <x:c r="D12" s="14" t="n">
        <x:f>'汇总来源'!D12</x:f>
        <x:v>200</x:v>
      </x:c>
      <x:c r="E12" s="14" t="n">
        <x:f>'汇总来源'!E12</x:f>
        <x:v>200</x:v>
      </x:c>
      <x:c r="F12" s="15" t="n">
        <x:f>E12/D12</x:f>
        <x:v>1</x:v>
      </x:c>
      <x:c r="G12" s="14" t="n">
        <x:f>'汇总来源'!F12</x:f>
        <x:v>80</x:v>
      </x:c>
      <x:c r="H12" s="15" t="n">
        <x:f>IF(ISNUMBER(G12),G12/D12,"未测量")</x:f>
        <x:v>0.4</x:v>
      </x:c>
      <x:c r="I12" s="14" t="n">
        <x:f>'汇总来源'!G12</x:f>
        <x:v>0</x:v>
      </x:c>
      <x:c r="J12" s="15" t="n">
        <x:f>IF(ISNUMBER(I12),I12/D12,"不适用")</x:f>
        <x:v>0</x:v>
      </x:c>
      <x:c r="K12" s="2"/>
      <x:c r="L12" s="2"/>
      <x:c r="M12" s="2"/>
      <x:c r="N12" s="2"/>
      <x:c r="O12" s="2"/>
      <x:c r="P12" s="2"/>
    </x:row>
    <x:row r="13" ht="28" customHeight="1">
      <x:c r="A13" s="9" t="str">
        <x:v>VI.4</x:v>
      </x:c>
      <x:c r="B13" s="9" t="str">
        <x:v>Random1000</x:v>
      </x:c>
      <x:c r="C13" s="9" t="str">
        <x:v>原始输入</x:v>
      </x:c>
      <x:c r="D13" s="16" t="n">
        <x:f>'汇总来源'!D13</x:f>
        <x:v>1000</x:v>
      </x:c>
      <x:c r="E13" s="16" t="n">
        <x:f>'汇总来源'!E13</x:f>
        <x:v>0</x:v>
      </x:c>
      <x:c r="F13" s="17" t="n">
        <x:f>E13/D13</x:f>
        <x:v>0</x:v>
      </x:c>
      <x:c r="G13" s="16" t="n">
        <x:f>'汇总来源'!F13</x:f>
        <x:v>0</x:v>
      </x:c>
      <x:c r="H13" s="17" t="n">
        <x:f>IF(ISNUMBER(G13),G13/D13,"未测量")</x:f>
        <x:v>0</x:v>
      </x:c>
      <x:c r="I13" s="16" t="str">
        <x:f>"不适用"</x:f>
        <x:v>不适用</x:v>
      </x:c>
      <x:c r="J13" s="17" t="str">
        <x:f>IF(ISNUMBER(I13),I13/D13,"不适用")</x:f>
        <x:v>不适用</x:v>
      </x:c>
      <x:c r="K13" s="2"/>
      <x:c r="L13" s="2"/>
      <x:c r="M13" s="2"/>
      <x:c r="N13" s="2"/>
      <x:c r="O13" s="2"/>
      <x:c r="P13" s="2"/>
    </x:row>
    <x:row r="14" ht="28" customHeight="1">
      <x:c r="A14" s="8" t="str">
        <x:v>VI.4</x:v>
      </x:c>
      <x:c r="B14" s="8" t="str">
        <x:v>Random1000</x:v>
      </x:c>
      <x:c r="C14" s="8" t="str">
        <x:v>M0_90</x:v>
      </x:c>
      <x:c r="D14" s="14" t="n">
        <x:f>'汇总来源'!D14</x:f>
        <x:v>1000</x:v>
      </x:c>
      <x:c r="E14" s="14" t="n">
        <x:f>'汇总来源'!E14</x:f>
        <x:v>0</x:v>
      </x:c>
      <x:c r="F14" s="15" t="n">
        <x:f>E14/D14</x:f>
        <x:v>0</x:v>
      </x:c>
      <x:c r="G14" s="14" t="n">
        <x:f>'汇总来源'!F14</x:f>
        <x:v>0</x:v>
      </x:c>
      <x:c r="H14" s="15" t="n">
        <x:f>IF(ISNUMBER(G14),G14/D14,"未测量")</x:f>
        <x:v>0</x:v>
      </x:c>
      <x:c r="I14" s="14" t="str">
        <x:f>"不适用"</x:f>
        <x:v>不适用</x:v>
      </x:c>
      <x:c r="J14" s="15" t="str">
        <x:f>IF(ISNUMBER(I14),I14/D14,"不适用")</x:f>
        <x:v>不适用</x:v>
      </x:c>
      <x:c r="K14" s="2"/>
      <x:c r="L14" s="2"/>
      <x:c r="M14" s="2"/>
      <x:c r="N14" s="2"/>
      <x:c r="O14" s="2"/>
      <x:c r="P14" s="2"/>
    </x:row>
    <x:row r="15" ht="28" customHeight="1">
      <x:c r="A15" s="9" t="str">
        <x:v>VI.4</x:v>
      </x:c>
      <x:c r="B15" s="9" t="str">
        <x:v>Random1000</x:v>
      </x:c>
      <x:c r="C15" s="9" t="str">
        <x:v>M0_180</x:v>
      </x:c>
      <x:c r="D15" s="16" t="n">
        <x:f>'汇总来源'!D15</x:f>
        <x:v>1000</x:v>
      </x:c>
      <x:c r="E15" s="16" t="n">
        <x:f>'汇总来源'!E15</x:f>
        <x:v>5</x:v>
      </x:c>
      <x:c r="F15" s="17" t="n">
        <x:f>E15/D15</x:f>
        <x:v>0.005</x:v>
      </x:c>
      <x:c r="G15" s="16" t="n">
        <x:f>'汇总来源'!F15</x:f>
        <x:v>0</x:v>
      </x:c>
      <x:c r="H15" s="17" t="n">
        <x:f>IF(ISNUMBER(G15),G15/D15,"未测量")</x:f>
        <x:v>0</x:v>
      </x:c>
      <x:c r="I15" s="16" t="str">
        <x:f>"不适用"</x:f>
        <x:v>不适用</x:v>
      </x:c>
      <x:c r="J15" s="17" t="str">
        <x:f>IF(ISNUMBER(I15),I15/D15,"不适用")</x:f>
        <x:v>不适用</x:v>
      </x:c>
      <x:c r="K15" s="2"/>
      <x:c r="L15" s="2"/>
      <x:c r="M15" s="2"/>
      <x:c r="N15" s="2"/>
      <x:c r="O15" s="2"/>
      <x:c r="P15" s="2"/>
    </x:row>
    <x:row r="16" ht="28" customHeight="1">
      <x:c r="A16" s="8" t="str">
        <x:v>VI.4</x:v>
      </x:c>
      <x:c r="B16" s="8" t="str">
        <x:v>Random1000</x:v>
      </x:c>
      <x:c r="C16" s="8" t="str">
        <x:v>M0_360</x:v>
      </x:c>
      <x:c r="D16" s="14" t="n">
        <x:f>'汇总来源'!D16</x:f>
        <x:v>1000</x:v>
      </x:c>
      <x:c r="E16" s="14" t="n">
        <x:f>'汇总来源'!E16</x:f>
        <x:v>0</x:v>
      </x:c>
      <x:c r="F16" s="15" t="n">
        <x:f>E16/D16</x:f>
        <x:v>0</x:v>
      </x:c>
      <x:c r="G16" s="14" t="n">
        <x:f>'汇总来源'!F16</x:f>
        <x:v>0</x:v>
      </x:c>
      <x:c r="H16" s="15" t="n">
        <x:f>IF(ISNUMBER(G16),G16/D16,"未测量")</x:f>
        <x:v>0</x:v>
      </x:c>
      <x:c r="I16" s="14" t="str">
        <x:f>"不适用"</x:f>
        <x:v>不适用</x:v>
      </x:c>
      <x:c r="J16" s="15" t="str">
        <x:f>IF(ISNUMBER(I16),I16/D16,"不适用")</x:f>
        <x:v>不适用</x:v>
      </x:c>
      <x:c r="K16" s="2"/>
      <x:c r="L16" s="2"/>
      <x:c r="M16" s="2"/>
      <x:c r="N16" s="2"/>
      <x:c r="O16" s="2"/>
      <x:c r="P16" s="2"/>
    </x:row>
    <x:row r="17" ht="28" customHeight="1">
      <x:c r="A17" s="9" t="str">
        <x:v>VI.4</x:v>
      </x:c>
      <x:c r="B17" s="9" t="str">
        <x:v>Random1000</x:v>
      </x:c>
      <x:c r="C17" s="9" t="str">
        <x:v>M1_180</x:v>
      </x:c>
      <x:c r="D17" s="16" t="n">
        <x:f>'汇总来源'!D17</x:f>
        <x:v>1000</x:v>
      </x:c>
      <x:c r="E17" s="16" t="n">
        <x:f>'汇总来源'!E17</x:f>
        <x:v>0</x:v>
      </x:c>
      <x:c r="F17" s="17" t="n">
        <x:f>E17/D17</x:f>
        <x:v>0</x:v>
      </x:c>
      <x:c r="G17" s="16" t="n">
        <x:f>'汇总来源'!F17</x:f>
        <x:v>0</x:v>
      </x:c>
      <x:c r="H17" s="17" t="n">
        <x:f>IF(ISNUMBER(G17),G17/D17,"未测量")</x:f>
        <x:v>0</x:v>
      </x:c>
      <x:c r="I17" s="16" t="str">
        <x:f>"不适用"</x:f>
        <x:v>不适用</x:v>
      </x:c>
      <x:c r="J17" s="17" t="str">
        <x:f>IF(ISNUMBER(I17),I17/D17,"不适用")</x:f>
        <x:v>不适用</x:v>
      </x:c>
      <x:c r="K17" s="2"/>
      <x:c r="L17" s="2"/>
      <x:c r="M17" s="2"/>
      <x:c r="N17" s="2"/>
      <x:c r="O17" s="2"/>
      <x:c r="P17" s="2"/>
    </x:row>
    <x:row r="18" ht="28" customHeight="1">
      <x:c r="A18" s="8" t="str">
        <x:v>VI.4</x:v>
      </x:c>
      <x:c r="B18" s="8" t="str">
        <x:v>Random1000</x:v>
      </x:c>
      <x:c r="C18" s="8" t="str">
        <x:v>M2_180</x:v>
      </x:c>
      <x:c r="D18" s="14" t="n">
        <x:f>'汇总来源'!D18</x:f>
        <x:v>1000</x:v>
      </x:c>
      <x:c r="E18" s="14" t="n">
        <x:f>'汇总来源'!E18</x:f>
        <x:v>7</x:v>
      </x:c>
      <x:c r="F18" s="15" t="n">
        <x:f>E18/D18</x:f>
        <x:v>0.007</x:v>
      </x:c>
      <x:c r="G18" s="14" t="n">
        <x:f>'汇总来源'!F18</x:f>
        <x:v>0</x:v>
      </x:c>
      <x:c r="H18" s="15" t="n">
        <x:f>IF(ISNUMBER(G18),G18/D18,"未测量")</x:f>
        <x:v>0</x:v>
      </x:c>
      <x:c r="I18" s="14" t="str">
        <x:f>"不适用"</x:f>
        <x:v>不适用</x:v>
      </x:c>
      <x:c r="J18" s="15" t="str">
        <x:f>IF(ISNUMBER(I18),I18/D18,"不适用")</x:f>
        <x:v>不适用</x:v>
      </x:c>
      <x:c r="K18" s="2"/>
      <x:c r="L18" s="2"/>
      <x:c r="M18" s="2"/>
      <x:c r="N18" s="2"/>
      <x:c r="O18" s="2"/>
      <x:c r="P18" s="2"/>
    </x:row>
    <x:row r="19" ht="28" customHeight="1">
      <x:c r="A19" s="9" t="str">
        <x:v>VI.4</x:v>
      </x:c>
      <x:c r="B19" s="9" t="str">
        <x:v>Random1000</x:v>
      </x:c>
      <x:c r="C19" s="9" t="str">
        <x:v>M3_raw_local360</x:v>
      </x:c>
      <x:c r="D19" s="16" t="n">
        <x:f>'汇总来源'!D19</x:f>
        <x:v>1000</x:v>
      </x:c>
      <x:c r="E19" s="16" t="n">
        <x:f>'汇总来源'!E19</x:f>
        <x:v>65</x:v>
      </x:c>
      <x:c r="F19" s="17" t="n">
        <x:f>E19/D19</x:f>
        <x:v>0.065</x:v>
      </x:c>
      <x:c r="G19" s="16" t="n">
        <x:f>'汇总来源'!F19</x:f>
        <x:v>0</x:v>
      </x:c>
      <x:c r="H19" s="17" t="n">
        <x:f>IF(ISNUMBER(G19),G19/D19,"未测量")</x:f>
        <x:v>0</x:v>
      </x:c>
      <x:c r="I19" s="16" t="str">
        <x:f>"不适用"</x:f>
        <x:v>不适用</x:v>
      </x:c>
      <x:c r="J19" s="17" t="str">
        <x:f>IF(ISNUMBER(I19),I19/D19,"不适用")</x:f>
        <x:v>不适用</x:v>
      </x:c>
      <x:c r="K19" s="2"/>
      <x:c r="L19" s="2"/>
      <x:c r="M19" s="2"/>
      <x:c r="N19" s="2"/>
      <x:c r="O19" s="2"/>
      <x:c r="P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19" t="str">
        <x:v>Dataset</x:v>
      </x:c>
      <x:c r="B22" s="19" t="str">
        <x:v>Geometry G</x:v>
      </x:c>
      <x:c r="C22" s="19" t="str">
        <x:v>Geometry and feature G∩F</x:v>
      </x:c>
      <x:c r="D22" s="19" t="str">
        <x:v>Strict source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 t="str">
        <x:v>S1000</x:v>
      </x:c>
      <x:c r="B23" s="18" t="n">
        <x:f>F11</x:f>
        <x:v>1</x:v>
      </x:c>
      <x:c r="C23" s="18" t="n">
        <x:f>H11</x:f>
        <x:v>0.4</x:v>
      </x:c>
      <x:c r="D23" s="18" t="n">
        <x:f>J11</x:f>
        <x:v>0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 t="str">
        <x:v>B200</x:v>
      </x:c>
      <x:c r="B24" s="18" t="n">
        <x:f>F12</x:f>
        <x:v>1</x:v>
      </x:c>
      <x:c r="C24" s="18" t="n">
        <x:f>H12</x:f>
        <x:v>0.4</x:v>
      </x:c>
      <x:c r="D24" s="18" t="n">
        <x:f>J12</x:f>
        <x:v>0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 t="str">
        <x:v>Random1000</x:v>
      </x:c>
      <x:c r="B25" s="18" t="n">
        <x:f>F19</x:f>
        <x:v>0.065</x:v>
      </x:c>
      <x:c r="C25" s="18" t="n">
        <x:f>H19</x:f>
        <x:v>0</x:v>
      </x:c>
      <x:c r="D25" s="18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 t="str">
        <x:v>几何通过不等于任务语义保持、实机安全或VLA训练资格。严格S对无来源随机数据不适用。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 t="str">
        <x:v>旧候选搜索包含二分细化；其整次搜索次数不等于新算法迭代轮数。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 t="str">
        <x:v>VI.2历史并集为事后分析，不属于独立前瞻验证。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 t="str">
        <x:v>VI.1–VI.3与VI.4采用不同冻结/当前场景，不能归因于单一因素。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 t="str">
        <x:v>各方法的候选空间、修正上限、耗时边界与缓存不同，未证明等成本优势。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 t="str">
        <x:v>图表中未测量值和不适用值保留为空或文字。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</x:sheetData>
  <x:pageMargins left="0.7" right="0.7" top="0.75" bottom="0.75" header="0.3" footer="0.3"/>
  <x:drawing xmlns:r="http://schemas.openxmlformats.org/officeDocument/2006/relationships" r:id="R62baf4e226774616"/>
  <x:tableParts count="1">
    <x:tablePart xmlns:r="http://schemas.openxmlformats.org/officeDocument/2006/relationships" r:id="R7a662f816a784c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预算5、10、30轮观察与旧方法对照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 t="str">
        <x:v>检查点来自同一次运行；早停/提前成功保持，缺测不补成已执行失败。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7" t="str">
        <x:v>阶段</x:v>
      </x:c>
      <x:c r="B5" s="7" t="str">
        <x:v>数据集</x:v>
      </x:c>
      <x:c r="C5" s="7" t="str">
        <x:v>方法</x:v>
      </x:c>
      <x:c r="D5" s="7" t="str">
        <x:v>预算轮数K</x:v>
      </x:c>
      <x:c r="E5" s="7" t="str">
        <x:v>计划数</x:v>
      </x:c>
      <x:c r="F5" s="7" t="str">
        <x:v>观察数</x:v>
      </x:c>
      <x:c r="G5" s="7" t="str">
        <x:v>确认通过数</x:v>
      </x:c>
      <x:c r="H5" s="7" t="str">
        <x:v>确认通过/计划</x:v>
      </x:c>
      <x:c r="I5" s="7" t="str">
        <x:v>通过/已观察</x:v>
      </x:c>
      <x:c r="J5" s="7" t="str">
        <x:v>未观察数</x:v>
      </x:c>
      <x:c r="K5" s="7" t="str">
        <x:v>研究特征数</x:v>
      </x:c>
      <x:c r="L5" s="7" t="str">
        <x:v>严格S数</x:v>
      </x:c>
      <x:c r="M5" s="7" t="str">
        <x:v>平均耗时s</x:v>
      </x:c>
      <x:c r="N5" s="7" t="str">
        <x:v>说明</x:v>
      </x:c>
    </x:row>
    <x:row r="6" ht="28" customHeight="1">
      <x:c r="A6" s="8" t="str">
        <x:v>VI.1</x:v>
      </x:c>
      <x:c r="B6" s="8" t="str">
        <x:v>Random1000</x:v>
      </x:c>
      <x:c r="C6" s="8" t="str">
        <x:v>旧候选搜索180°</x:v>
      </x:c>
      <x:c r="D6" s="8"/>
      <x:c r="E6" s="8" t="n">
        <x:v>1000</x:v>
      </x:c>
      <x:c r="F6" s="8" t="n">
        <x:v>1000</x:v>
      </x:c>
      <x:c r="G6" s="8" t="n">
        <x:v>15</x:v>
      </x:c>
      <x:c r="H6" s="12" t="n">
        <x:f>G6/E6</x:f>
        <x:v>0.015</x:v>
      </x:c>
      <x:c r="I6" s="12" t="n">
        <x:f>IF(F6=0,"无观察",G6/F6)</x:f>
        <x:v>0.015</x:v>
      </x:c>
      <x:c r="J6" s="8" t="n">
        <x:f>E6-F6</x:f>
        <x:v>0</x:v>
      </x:c>
      <x:c r="K6" s="8"/>
      <x:c r="L6" s="8"/>
      <x:c r="M6" s="20" t="n">
        <x:v>4.896201842599992</x:v>
      </x:c>
      <x:c r="N6" s="8" t="str">
        <x:v>整次搜索，无5/10/30迭代对应</x:v>
      </x:c>
    </x:row>
    <x:row r="7" ht="28" customHeight="1">
      <x:c r="A7" s="9" t="str">
        <x:v>VI.1</x:v>
      </x:c>
      <x:c r="B7" s="9" t="str">
        <x:v>Random1000</x:v>
      </x:c>
      <x:c r="C7" s="9" t="str">
        <x:v>最近双关节</x:v>
      </x:c>
      <x:c r="D7" s="9" t="n">
        <x:v>5</x:v>
      </x:c>
      <x:c r="E7" s="9" t="n">
        <x:v>1000</x:v>
      </x:c>
      <x:c r="F7" s="9" t="n">
        <x:v>1000</x:v>
      </x:c>
      <x:c r="G7" s="9" t="n">
        <x:v>0</x:v>
      </x:c>
      <x:c r="H7" s="13" t="n">
        <x:f>G7/E7</x:f>
        <x:v>0</x:v>
      </x:c>
      <x:c r="I7" s="13" t="n">
        <x:f>IF(F7=0,"无观察",G7/F7)</x:f>
        <x:v>0</x:v>
      </x:c>
      <x:c r="J7" s="9" t="n">
        <x:f>E7-F7</x:f>
        <x:v>0</x:v>
      </x:c>
      <x:c r="K7" s="9"/>
      <x:c r="L7" s="9"/>
      <x:c r="M7" s="21" t="n">
        <x:v>3.8280494363999606</x:v>
      </x:c>
      <x:c r="N7" s="9" t="str">
        <x:v>同一运行嵌套检查点；早停状态保持</x:v>
      </x:c>
    </x:row>
    <x:row r="8" ht="28" customHeight="1">
      <x:c r="A8" s="8" t="str">
        <x:v>VI.1</x:v>
      </x:c>
      <x:c r="B8" s="8" t="str">
        <x:v>Random1000</x:v>
      </x:c>
      <x:c r="C8" s="8" t="str">
        <x:v>最近双关节</x:v>
      </x:c>
      <x:c r="D8" s="8" t="n">
        <x:v>10</x:v>
      </x:c>
      <x:c r="E8" s="8" t="n">
        <x:v>1000</x:v>
      </x:c>
      <x:c r="F8" s="8" t="n">
        <x:v>1000</x:v>
      </x:c>
      <x:c r="G8" s="8" t="n">
        <x:v>0</x:v>
      </x:c>
      <x:c r="H8" s="12" t="n">
        <x:f>G8/E8</x:f>
        <x:v>0</x:v>
      </x:c>
      <x:c r="I8" s="12" t="n">
        <x:f>IF(F8=0,"无观察",G8/F8)</x:f>
        <x:v>0</x:v>
      </x:c>
      <x:c r="J8" s="8" t="n">
        <x:f>E8-F8</x:f>
        <x:v>0</x:v>
      </x:c>
      <x:c r="K8" s="8"/>
      <x:c r="L8" s="8"/>
      <x:c r="M8" s="20" t="n">
        <x:v>7.006483227899858</x:v>
      </x:c>
      <x:c r="N8" s="8" t="str">
        <x:v>同一运行嵌套检查点；早停状态保持</x:v>
      </x:c>
    </x:row>
    <x:row r="9" ht="28" customHeight="1">
      <x:c r="A9" s="9" t="str">
        <x:v>VI.1</x:v>
      </x:c>
      <x:c r="B9" s="9" t="str">
        <x:v>Random1000</x:v>
      </x:c>
      <x:c r="C9" s="9" t="str">
        <x:v>最近双关节</x:v>
      </x:c>
      <x:c r="D9" s="9" t="n">
        <x:v>30</x:v>
      </x:c>
      <x:c r="E9" s="9" t="n">
        <x:v>1000</x:v>
      </x:c>
      <x:c r="F9" s="9" t="n">
        <x:v>1000</x:v>
      </x:c>
      <x:c r="G9" s="9" t="n">
        <x:v>0</x:v>
      </x:c>
      <x:c r="H9" s="13" t="n">
        <x:f>G9/E9</x:f>
        <x:v>0</x:v>
      </x:c>
      <x:c r="I9" s="13" t="n">
        <x:f>IF(F9=0,"无观察",G9/F9)</x:f>
        <x:v>0</x:v>
      </x:c>
      <x:c r="J9" s="9" t="n">
        <x:f>E9-F9</x:f>
        <x:v>0</x:v>
      </x:c>
      <x:c r="K9" s="9"/>
      <x:c r="L9" s="9"/>
      <x:c r="M9" s="21" t="n">
        <x:v>13.005436032700047</x:v>
      </x:c>
      <x:c r="N9" s="9" t="str">
        <x:v>同一运行嵌套检查点；早停状态保持</x:v>
      </x:c>
    </x:row>
    <x:row r="10" ht="28" customHeight="1">
      <x:c r="A10" s="8" t="str">
        <x:v>VI.1</x:v>
      </x:c>
      <x:c r="B10" s="8" t="str">
        <x:v>S1000</x:v>
      </x:c>
      <x:c r="C10" s="8" t="str">
        <x:v>旧候选搜索180°</x:v>
      </x:c>
      <x:c r="D10" s="8"/>
      <x:c r="E10" s="8" t="n">
        <x:v>1000</x:v>
      </x:c>
      <x:c r="F10" s="8" t="n">
        <x:v>1000</x:v>
      </x:c>
      <x:c r="G10" s="8" t="n">
        <x:v>237</x:v>
      </x:c>
      <x:c r="H10" s="12" t="n">
        <x:f>G10/E10</x:f>
        <x:v>0.237</x:v>
      </x:c>
      <x:c r="I10" s="12" t="n">
        <x:f>IF(F10=0,"无观察",G10/F10)</x:f>
        <x:v>0.237</x:v>
      </x:c>
      <x:c r="J10" s="8" t="n">
        <x:f>E10-F10</x:f>
        <x:v>0</x:v>
      </x:c>
      <x:c r="K10" s="8"/>
      <x:c r="L10" s="8" t="n">
        <x:v>0</x:v>
      </x:c>
      <x:c r="M10" s="20" t="n">
        <x:v>2.934191166400058</x:v>
      </x:c>
      <x:c r="N10" s="8" t="str">
        <x:v>整次搜索，无5/10/30迭代对应</x:v>
      </x:c>
    </x:row>
    <x:row r="11" ht="28" customHeight="1">
      <x:c r="A11" s="9" t="str">
        <x:v>VI.1</x:v>
      </x:c>
      <x:c r="B11" s="9" t="str">
        <x:v>S1000</x:v>
      </x:c>
      <x:c r="C11" s="9" t="str">
        <x:v>最近双关节</x:v>
      </x:c>
      <x:c r="D11" s="9" t="n">
        <x:v>5</x:v>
      </x:c>
      <x:c r="E11" s="9" t="n">
        <x:v>1000</x:v>
      </x:c>
      <x:c r="F11" s="9" t="n">
        <x:v>1000</x:v>
      </x:c>
      <x:c r="G11" s="9" t="n">
        <x:v>0</x:v>
      </x:c>
      <x:c r="H11" s="13" t="n">
        <x:f>G11/E11</x:f>
        <x:v>0</x:v>
      </x:c>
      <x:c r="I11" s="13" t="n">
        <x:f>IF(F11=0,"无观察",G11/F11)</x:f>
        <x:v>0</x:v>
      </x:c>
      <x:c r="J11" s="9" t="n">
        <x:f>E11-F11</x:f>
        <x:v>0</x:v>
      </x:c>
      <x:c r="K11" s="9"/>
      <x:c r="L11" s="9" t="n">
        <x:v>0</x:v>
      </x:c>
      <x:c r="M11" s="21" t="n">
        <x:v>0.5249249914999528</x:v>
      </x:c>
      <x:c r="N11" s="9" t="str">
        <x:v>同一运行嵌套检查点；早停状态保持</x:v>
      </x:c>
    </x:row>
    <x:row r="12" ht="28" customHeight="1">
      <x:c r="A12" s="8" t="str">
        <x:v>VI.1</x:v>
      </x:c>
      <x:c r="B12" s="8" t="str">
        <x:v>S1000</x:v>
      </x:c>
      <x:c r="C12" s="8" t="str">
        <x:v>最近双关节</x:v>
      </x:c>
      <x:c r="D12" s="8" t="n">
        <x:v>10</x:v>
      </x:c>
      <x:c r="E12" s="8" t="n">
        <x:v>1000</x:v>
      </x:c>
      <x:c r="F12" s="8" t="n">
        <x:v>1000</x:v>
      </x:c>
      <x:c r="G12" s="8" t="n">
        <x:v>0</x:v>
      </x:c>
      <x:c r="H12" s="12" t="n">
        <x:f>G12/E12</x:f>
        <x:v>0</x:v>
      </x:c>
      <x:c r="I12" s="12" t="n">
        <x:f>IF(F12=0,"无观察",G12/F12)</x:f>
        <x:v>0</x:v>
      </x:c>
      <x:c r="J12" s="8" t="n">
        <x:f>E12-F12</x:f>
        <x:v>0</x:v>
      </x:c>
      <x:c r="K12" s="8"/>
      <x:c r="L12" s="8" t="n">
        <x:v>0</x:v>
      </x:c>
      <x:c r="M12" s="20" t="n">
        <x:v>0.7669248358999976</x:v>
      </x:c>
      <x:c r="N12" s="8" t="str">
        <x:v>同一运行嵌套检查点；早停状态保持</x:v>
      </x:c>
    </x:row>
    <x:row r="13" ht="28" customHeight="1">
      <x:c r="A13" s="9" t="str">
        <x:v>VI.1</x:v>
      </x:c>
      <x:c r="B13" s="9" t="str">
        <x:v>S1000</x:v>
      </x:c>
      <x:c r="C13" s="9" t="str">
        <x:v>最近双关节</x:v>
      </x:c>
      <x:c r="D13" s="9" t="n">
        <x:v>30</x:v>
      </x:c>
      <x:c r="E13" s="9" t="n">
        <x:v>1000</x:v>
      </x:c>
      <x:c r="F13" s="9" t="n">
        <x:v>1000</x:v>
      </x:c>
      <x:c r="G13" s="9" t="n">
        <x:v>0</x:v>
      </x:c>
      <x:c r="H13" s="13" t="n">
        <x:f>G13/E13</x:f>
        <x:v>0</x:v>
      </x:c>
      <x:c r="I13" s="13" t="n">
        <x:f>IF(F13=0,"无观察",G13/F13)</x:f>
        <x:v>0</x:v>
      </x:c>
      <x:c r="J13" s="9" t="n">
        <x:f>E13-F13</x:f>
        <x:v>0</x:v>
      </x:c>
      <x:c r="K13" s="9"/>
      <x:c r="L13" s="9" t="n">
        <x:v>0</x:v>
      </x:c>
      <x:c r="M13" s="21" t="n">
        <x:v>1.0428212813000137</x:v>
      </x:c>
      <x:c r="N13" s="9" t="str">
        <x:v>同一运行嵌套检查点；早停状态保持</x:v>
      </x:c>
    </x:row>
    <x:row r="14" ht="28" customHeight="1">
      <x:c r="A14" s="8" t="str">
        <x:v>VI.3</x:v>
      </x:c>
      <x:c r="B14" s="8" t="str">
        <x:v>S1000</x:v>
      </x:c>
      <x:c r="C14" s="8" t="str">
        <x:v>共同偏置加局部组合</x:v>
      </x:c>
      <x:c r="D14" s="8" t="n">
        <x:v>5</x:v>
      </x:c>
      <x:c r="E14" s="8" t="n">
        <x:v>1000</x:v>
      </x:c>
      <x:c r="F14" s="8" t="n">
        <x:v>1000</x:v>
      </x:c>
      <x:c r="G14" s="8" t="n">
        <x:v>848</x:v>
      </x:c>
      <x:c r="H14" s="12" t="n">
        <x:f>G14/E14</x:f>
        <x:v>0.848</x:v>
      </x:c>
      <x:c r="I14" s="12" t="n">
        <x:f>IF(F14=0,"无观察",G14/F14)</x:f>
        <x:v>0.848</x:v>
      </x:c>
      <x:c r="J14" s="8" t="n">
        <x:f>E14-F14</x:f>
        <x:v>0</x:v>
      </x:c>
      <x:c r="K14" s="8" t="n">
        <x:v>400</x:v>
      </x:c>
      <x:c r="L14" s="8" t="n">
        <x:v>0</x:v>
      </x:c>
      <x:c r="M14" s="20"/>
      <x:c r="N14" s="8" t="str">
        <x:v>前置拟合成功400例计入0轮；提前成功保持</x:v>
      </x:c>
    </x:row>
    <x:row r="15" ht="28" customHeight="1">
      <x:c r="A15" s="9" t="str">
        <x:v>VI.3</x:v>
      </x:c>
      <x:c r="B15" s="9" t="str">
        <x:v>S1000</x:v>
      </x:c>
      <x:c r="C15" s="9" t="str">
        <x:v>共同偏置加局部组合</x:v>
      </x:c>
      <x:c r="D15" s="9" t="n">
        <x:v>10</x:v>
      </x:c>
      <x:c r="E15" s="9" t="n">
        <x:v>1000</x:v>
      </x:c>
      <x:c r="F15" s="9" t="n">
        <x:v>1000</x:v>
      </x:c>
      <x:c r="G15" s="9" t="n">
        <x:v>1000</x:v>
      </x:c>
      <x:c r="H15" s="13" t="n">
        <x:f>G15/E15</x:f>
        <x:v>1</x:v>
      </x:c>
      <x:c r="I15" s="13" t="n">
        <x:f>IF(F15=0,"无观察",G15/F15)</x:f>
        <x:v>1</x:v>
      </x:c>
      <x:c r="J15" s="9" t="n">
        <x:f>E15-F15</x:f>
        <x:v>0</x:v>
      </x:c>
      <x:c r="K15" s="9" t="n">
        <x:v>400</x:v>
      </x:c>
      <x:c r="L15" s="9" t="n">
        <x:v>0</x:v>
      </x:c>
      <x:c r="M15" s="21"/>
      <x:c r="N15" s="9" t="str">
        <x:v>前置拟合成功400例计入0轮；提前成功保持</x:v>
      </x:c>
    </x:row>
    <x:row r="16" ht="28" customHeight="1">
      <x:c r="A16" s="8" t="str">
        <x:v>VI.3</x:v>
      </x:c>
      <x:c r="B16" s="8" t="str">
        <x:v>S1000</x:v>
      </x:c>
      <x:c r="C16" s="8" t="str">
        <x:v>共同偏置加局部组合</x:v>
      </x:c>
      <x:c r="D16" s="8" t="n">
        <x:v>30</x:v>
      </x:c>
      <x:c r="E16" s="8" t="n">
        <x:v>1000</x:v>
      </x:c>
      <x:c r="F16" s="8" t="n">
        <x:v>1000</x:v>
      </x:c>
      <x:c r="G16" s="8" t="n">
        <x:v>1000</x:v>
      </x:c>
      <x:c r="H16" s="12" t="n">
        <x:f>G16/E16</x:f>
        <x:v>1</x:v>
      </x:c>
      <x:c r="I16" s="12" t="n">
        <x:f>IF(F16=0,"无观察",G16/F16)</x:f>
        <x:v>1</x:v>
      </x:c>
      <x:c r="J16" s="8" t="n">
        <x:f>E16-F16</x:f>
        <x:v>0</x:v>
      </x:c>
      <x:c r="K16" s="8" t="n">
        <x:v>400</x:v>
      </x:c>
      <x:c r="L16" s="8" t="n">
        <x:v>0</x:v>
      </x:c>
      <x:c r="M16" s="20"/>
      <x:c r="N16" s="8" t="str">
        <x:v>前置拟合成功400例计入0轮；提前成功保持</x:v>
      </x:c>
    </x:row>
    <x:row r="17" ht="28" customHeight="1">
      <x:c r="A17" s="9" t="str">
        <x:v>VI.3</x:v>
      </x:c>
      <x:c r="B17" s="9" t="str">
        <x:v>B200</x:v>
      </x:c>
      <x:c r="C17" s="9" t="str">
        <x:v>共同偏置加局部组合</x:v>
      </x:c>
      <x:c r="D17" s="9" t="n">
        <x:v>5</x:v>
      </x:c>
      <x:c r="E17" s="9" t="n">
        <x:v>200</x:v>
      </x:c>
      <x:c r="F17" s="9" t="n">
        <x:v>200</x:v>
      </x:c>
      <x:c r="G17" s="9" t="n">
        <x:v>165</x:v>
      </x:c>
      <x:c r="H17" s="13" t="n">
        <x:f>G17/E17</x:f>
        <x:v>0.825</x:v>
      </x:c>
      <x:c r="I17" s="13" t="n">
        <x:f>IF(F17=0,"无观察",G17/F17)</x:f>
        <x:v>0.825</x:v>
      </x:c>
      <x:c r="J17" s="9" t="n">
        <x:f>E17-F17</x:f>
        <x:v>0</x:v>
      </x:c>
      <x:c r="K17" s="9" t="n">
        <x:v>80</x:v>
      </x:c>
      <x:c r="L17" s="9" t="n">
        <x:v>0</x:v>
      </x:c>
      <x:c r="M17" s="21"/>
      <x:c r="N17" s="9" t="str">
        <x:v>前置拟合成功80例计入0轮；提前成功保持</x:v>
      </x:c>
    </x:row>
    <x:row r="18" ht="28" customHeight="1">
      <x:c r="A18" s="8" t="str">
        <x:v>VI.3</x:v>
      </x:c>
      <x:c r="B18" s="8" t="str">
        <x:v>B200</x:v>
      </x:c>
      <x:c r="C18" s="8" t="str">
        <x:v>共同偏置加局部组合</x:v>
      </x:c>
      <x:c r="D18" s="8" t="n">
        <x:v>10</x:v>
      </x:c>
      <x:c r="E18" s="8" t="n">
        <x:v>200</x:v>
      </x:c>
      <x:c r="F18" s="8" t="n">
        <x:v>200</x:v>
      </x:c>
      <x:c r="G18" s="8" t="n">
        <x:v>200</x:v>
      </x:c>
      <x:c r="H18" s="12" t="n">
        <x:f>G18/E18</x:f>
        <x:v>1</x:v>
      </x:c>
      <x:c r="I18" s="12" t="n">
        <x:f>IF(F18=0,"无观察",G18/F18)</x:f>
        <x:v>1</x:v>
      </x:c>
      <x:c r="J18" s="8" t="n">
        <x:f>E18-F18</x:f>
        <x:v>0</x:v>
      </x:c>
      <x:c r="K18" s="8" t="n">
        <x:v>80</x:v>
      </x:c>
      <x:c r="L18" s="8" t="n">
        <x:v>0</x:v>
      </x:c>
      <x:c r="M18" s="20"/>
      <x:c r="N18" s="8" t="str">
        <x:v>前置拟合成功80例计入0轮；提前成功保持</x:v>
      </x:c>
    </x:row>
    <x:row r="19" ht="28" customHeight="1">
      <x:c r="A19" s="9" t="str">
        <x:v>VI.3</x:v>
      </x:c>
      <x:c r="B19" s="9" t="str">
        <x:v>B200</x:v>
      </x:c>
      <x:c r="C19" s="9" t="str">
        <x:v>共同偏置加局部组合</x:v>
      </x:c>
      <x:c r="D19" s="9" t="n">
        <x:v>30</x:v>
      </x:c>
      <x:c r="E19" s="9" t="n">
        <x:v>200</x:v>
      </x:c>
      <x:c r="F19" s="9" t="n">
        <x:v>200</x:v>
      </x:c>
      <x:c r="G19" s="9" t="n">
        <x:v>200</x:v>
      </x:c>
      <x:c r="H19" s="13" t="n">
        <x:f>G19/E19</x:f>
        <x:v>1</x:v>
      </x:c>
      <x:c r="I19" s="13" t="n">
        <x:f>IF(F19=0,"无观察",G19/F19)</x:f>
        <x:v>1</x:v>
      </x:c>
      <x:c r="J19" s="9" t="n">
        <x:f>E19-F19</x:f>
        <x:v>0</x:v>
      </x:c>
      <x:c r="K19" s="9" t="n">
        <x:v>80</x:v>
      </x:c>
      <x:c r="L19" s="9" t="n">
        <x:v>0</x:v>
      </x:c>
      <x:c r="M19" s="21"/>
      <x:c r="N19" s="9" t="str">
        <x:v>前置拟合成功80例计入0轮；提前成功保持</x:v>
      </x:c>
    </x:row>
    <x:row r="20" ht="28" customHeight="1">
      <x:c r="A20" s="8" t="str">
        <x:v>VI.4</x:v>
      </x:c>
      <x:c r="B20" s="8" t="str">
        <x:v>Random1000</x:v>
      </x:c>
      <x:c r="C20" s="8" t="str">
        <x:v>M1_180</x:v>
      </x:c>
      <x:c r="D20" s="8" t="n">
        <x:v>5</x:v>
      </x:c>
      <x:c r="E20" s="8" t="n">
        <x:v>1000</x:v>
      </x:c>
      <x:c r="F20" s="8" t="n">
        <x:v>1000</x:v>
      </x:c>
      <x:c r="G20" s="8" t="n">
        <x:v>0</x:v>
      </x:c>
      <x:c r="H20" s="12" t="n">
        <x:f>G20/E20</x:f>
        <x:v>0</x:v>
      </x:c>
      <x:c r="I20" s="12" t="n">
        <x:f>IF(F20=0,"无观察",G20/F20)</x:f>
        <x:v>0</x:v>
      </x:c>
      <x:c r="J20" s="8" t="n">
        <x:f>E20-F20</x:f>
        <x:v>0</x:v>
      </x:c>
      <x:c r="K20" s="8" t="n">
        <x:v>0</x:v>
      </x:c>
      <x:c r="L20" s="8"/>
      <x:c r="M20" s="20"/>
      <x:c r="N20" s="8" t="str">
        <x:v>未观察检查点保持为空；时间预算导致删失，确认通过数除以计划1000</x:v>
      </x:c>
    </x:row>
    <x:row r="21" ht="28" customHeight="1">
      <x:c r="A21" s="9" t="str">
        <x:v>VI.4</x:v>
      </x:c>
      <x:c r="B21" s="9" t="str">
        <x:v>Random1000</x:v>
      </x:c>
      <x:c r="C21" s="9" t="str">
        <x:v>M1_180</x:v>
      </x:c>
      <x:c r="D21" s="9" t="n">
        <x:v>10</x:v>
      </x:c>
      <x:c r="E21" s="9" t="n">
        <x:v>1000</x:v>
      </x:c>
      <x:c r="F21" s="9" t="n">
        <x:v>1000</x:v>
      </x:c>
      <x:c r="G21" s="9" t="n">
        <x:v>0</x:v>
      </x:c>
      <x:c r="H21" s="13" t="n">
        <x:f>G21/E21</x:f>
        <x:v>0</x:v>
      </x:c>
      <x:c r="I21" s="13" t="n">
        <x:f>IF(F21=0,"无观察",G21/F21)</x:f>
        <x:v>0</x:v>
      </x:c>
      <x:c r="J21" s="9" t="n">
        <x:f>E21-F21</x:f>
        <x:v>0</x:v>
      </x:c>
      <x:c r="K21" s="9" t="n">
        <x:v>0</x:v>
      </x:c>
      <x:c r="L21" s="9"/>
      <x:c r="M21" s="21"/>
      <x:c r="N21" s="9" t="str">
        <x:v>未观察检查点保持为空；时间预算导致删失，确认通过数除以计划1000</x:v>
      </x:c>
    </x:row>
    <x:row r="22" ht="28" customHeight="1">
      <x:c r="A22" s="8" t="str">
        <x:v>VI.4</x:v>
      </x:c>
      <x:c r="B22" s="8" t="str">
        <x:v>Random1000</x:v>
      </x:c>
      <x:c r="C22" s="8" t="str">
        <x:v>M1_180</x:v>
      </x:c>
      <x:c r="D22" s="8" t="n">
        <x:v>30</x:v>
      </x:c>
      <x:c r="E22" s="8" t="n">
        <x:v>1000</x:v>
      </x:c>
      <x:c r="F22" s="8" t="n">
        <x:v>1000</x:v>
      </x:c>
      <x:c r="G22" s="8" t="n">
        <x:v>0</x:v>
      </x:c>
      <x:c r="H22" s="12" t="n">
        <x:f>G22/E22</x:f>
        <x:v>0</x:v>
      </x:c>
      <x:c r="I22" s="12" t="n">
        <x:f>IF(F22=0,"无观察",G22/F22)</x:f>
        <x:v>0</x:v>
      </x:c>
      <x:c r="J22" s="8" t="n">
        <x:f>E22-F22</x:f>
        <x:v>0</x:v>
      </x:c>
      <x:c r="K22" s="8" t="n">
        <x:v>0</x:v>
      </x:c>
      <x:c r="L22" s="8"/>
      <x:c r="M22" s="20"/>
      <x:c r="N22" s="8" t="str">
        <x:v>未观察检查点保持为空；时间预算导致删失，确认通过数除以计划1000</x:v>
      </x:c>
    </x:row>
    <x:row r="23" ht="28" customHeight="1">
      <x:c r="A23" s="9" t="str">
        <x:v>VI.4</x:v>
      </x:c>
      <x:c r="B23" s="9" t="str">
        <x:v>Random1000</x:v>
      </x:c>
      <x:c r="C23" s="9" t="str">
        <x:v>M3_raw_local360</x:v>
      </x:c>
      <x:c r="D23" s="9" t="n">
        <x:v>5</x:v>
      </x:c>
      <x:c r="E23" s="9" t="n">
        <x:v>1000</x:v>
      </x:c>
      <x:c r="F23" s="9" t="n">
        <x:v>997</x:v>
      </x:c>
      <x:c r="G23" s="9" t="n">
        <x:v>0</x:v>
      </x:c>
      <x:c r="H23" s="13" t="n">
        <x:f>G23/E23</x:f>
        <x:v>0</x:v>
      </x:c>
      <x:c r="I23" s="13" t="n">
        <x:f>IF(F23=0,"无观察",G23/F23)</x:f>
        <x:v>0</x:v>
      </x:c>
      <x:c r="J23" s="9" t="n">
        <x:f>E23-F23</x:f>
        <x:v>3</x:v>
      </x:c>
      <x:c r="K23" s="9" t="n">
        <x:v>0</x:v>
      </x:c>
      <x:c r="L23" s="9"/>
      <x:c r="M23" s="21"/>
      <x:c r="N23" s="9" t="str">
        <x:v>未观察检查点保持为空；时间预算导致删失，确认通过数除以计划1000</x:v>
      </x:c>
    </x:row>
    <x:row r="24" ht="28" customHeight="1">
      <x:c r="A24" s="8" t="str">
        <x:v>VI.4</x:v>
      </x:c>
      <x:c r="B24" s="8" t="str">
        <x:v>Random1000</x:v>
      </x:c>
      <x:c r="C24" s="8" t="str">
        <x:v>M3_raw_local360</x:v>
      </x:c>
      <x:c r="D24" s="8" t="n">
        <x:v>10</x:v>
      </x:c>
      <x:c r="E24" s="8" t="n">
        <x:v>1000</x:v>
      </x:c>
      <x:c r="F24" s="8" t="n">
        <x:v>994</x:v>
      </x:c>
      <x:c r="G24" s="8" t="n">
        <x:v>0</x:v>
      </x:c>
      <x:c r="H24" s="12" t="n">
        <x:f>G24/E24</x:f>
        <x:v>0</x:v>
      </x:c>
      <x:c r="I24" s="12" t="n">
        <x:f>IF(F24=0,"无观察",G24/F24)</x:f>
        <x:v>0</x:v>
      </x:c>
      <x:c r="J24" s="8" t="n">
        <x:f>E24-F24</x:f>
        <x:v>6</x:v>
      </x:c>
      <x:c r="K24" s="8" t="n">
        <x:v>0</x:v>
      </x:c>
      <x:c r="L24" s="8"/>
      <x:c r="M24" s="20"/>
      <x:c r="N24" s="8" t="str">
        <x:v>未观察检查点保持为空；时间预算导致删失，确认通过数除以计划1000</x:v>
      </x:c>
    </x:row>
    <x:row r="25" ht="28" customHeight="1">
      <x:c r="A25" s="9" t="str">
        <x:v>VI.4</x:v>
      </x:c>
      <x:c r="B25" s="9" t="str">
        <x:v>Random1000</x:v>
      </x:c>
      <x:c r="C25" s="9" t="str">
        <x:v>M3_raw_local360</x:v>
      </x:c>
      <x:c r="D25" s="9" t="n">
        <x:v>30</x:v>
      </x:c>
      <x:c r="E25" s="9" t="n">
        <x:v>1000</x:v>
      </x:c>
      <x:c r="F25" s="9" t="n">
        <x:v>86</x:v>
      </x:c>
      <x:c r="G25" s="9" t="n">
        <x:v>65</x:v>
      </x:c>
      <x:c r="H25" s="13" t="n">
        <x:f>G25/E25</x:f>
        <x:v>0.065</x:v>
      </x:c>
      <x:c r="I25" s="13" t="n">
        <x:f>IF(F25=0,"无观察",G25/F25)</x:f>
        <x:v>0.7558139534883721</x:v>
      </x:c>
      <x:c r="J25" s="9" t="n">
        <x:f>E25-F25</x:f>
        <x:v>914</x:v>
      </x:c>
      <x:c r="K25" s="9" t="n">
        <x:v>0</x:v>
      </x:c>
      <x:c r="L25" s="9"/>
      <x:c r="M25" s="21"/>
      <x:c r="N25" s="9" t="str">
        <x:v>未观察检查点保持为空；时间预算导致删失，确认通过数除以计划1000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 t="str">
        <x:v>Budget K</x:v>
      </x:c>
      <x:c r="B28" s="2" t="str">
        <x:v>VI.3 S1000</x:v>
      </x:c>
      <x:c r="C28" s="2" t="str">
        <x:v>VI.1 S1000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 t="str">
        <x:v>5</x:v>
      </x:c>
      <x:c r="B29" s="18" t="n">
        <x:f>H14</x:f>
        <x:v>0.848</x:v>
      </x:c>
      <x:c r="C29" s="18" t="n">
        <x:f>H11</x:f>
        <x:v>0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 t="str">
        <x:v>10</x:v>
      </x:c>
      <x:c r="B30" s="18" t="n">
        <x:f>H15</x:f>
        <x:v>1</x:v>
      </x:c>
      <x:c r="C30" s="18" t="n">
        <x:f>H12</x:f>
        <x:v>0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 t="str">
        <x:v>30</x:v>
      </x:c>
      <x:c r="B31" s="18" t="n">
        <x:f>H16</x:f>
        <x:v>1</x:v>
      </x:c>
      <x:c r="C31" s="18" t="n">
        <x:f>H13</x:f>
        <x:v>0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18"/>
      <x:c r="C32" s="18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18"/>
      <x:c r="C33" s="18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 t="str">
        <x:v>Budget K</x:v>
      </x:c>
      <x:c r="B34" s="18" t="str">
        <x:v>M3 current Random1000</x:v>
      </x:c>
      <x:c r="C34" s="18" t="str">
        <x:v>M1 current Random1000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 t="str">
        <x:v>5</x:v>
      </x:c>
      <x:c r="B35" s="18" t="n">
        <x:f>H23</x:f>
        <x:v>0</x:v>
      </x:c>
      <x:c r="C35" s="18" t="n">
        <x:f>H20</x:f>
        <x:v>0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 t="str">
        <x:v>10</x:v>
      </x:c>
      <x:c r="B36" s="18" t="n">
        <x:f>H24</x:f>
        <x:v>0</x:v>
      </x:c>
      <x:c r="C36" s="18" t="n">
        <x:f>H21</x:f>
        <x:v>0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 t="str">
        <x:v>30</x:v>
      </x:c>
      <x:c r="B37" s="18" t="n">
        <x:f>H25</x:f>
        <x:v>0.065</x:v>
      </x:c>
      <x:c r="C37" s="18" t="n">
        <x:f>H22</x:f>
        <x:v>0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 t="str">
        <x:v>来源：VI.1 analysis_summary.json；VI.3 local_blocks_analysis/summary.json；VI.4 workbook_input.json。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</x:sheetData>
  <x:pageMargins left="0.7" right="0.7" top="0.75" bottom="0.75" header="0.3" footer="0.3"/>
  <x:drawing xmlns:r="http://schemas.openxmlformats.org/officeDocument/2006/relationships" r:id="Rd7ed453341a54896"/>
  <x:tableParts count="1">
    <x:tablePart xmlns:r="http://schemas.openxmlformats.org/officeDocument/2006/relationships" r:id="R15991fce874649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24" hidden="0" customWidth="1"/>
    <x:col min="5" max="5" width="4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达到目标比例的观测预算与预计轮数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预计轮数保留不可估计；不能用有限样本100%拟合出总体100%保证。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数据集</x:v>
      </x:c>
      <x:c r="B5" s="7" t="str">
        <x:v>目标通过率</x:v>
      </x:c>
      <x:c r="C5" s="7" t="str">
        <x:v>首个已检查达标预算</x:v>
      </x:c>
      <x:c r="D5" s="7" t="str">
        <x:v>未来预计轮数</x:v>
      </x:c>
      <x:c r="E5" s="7" t="str">
        <x:v>观测结论</x:v>
      </x:c>
      <x:c r="F5" s="7" t="str">
        <x:v>总体100%保证</x:v>
      </x:c>
      <x:c r="G5" s="2"/>
      <x:c r="H5" s="2"/>
    </x:row>
    <x:row r="6" ht="28" customHeight="1">
      <x:c r="A6" s="8" t="str">
        <x:v>S1000</x:v>
      </x:c>
      <x:c r="B6" s="22" t="n">
        <x:v>0.9</x:v>
      </x:c>
      <x:c r="C6" s="24" t="n">
        <x:v>10</x:v>
      </x:c>
      <x:c r="D6" s="24" t="str">
        <x:v>不可识别</x:v>
      </x:c>
      <x:c r="E6" s="8" t="str">
        <x:v>已观察预算中首次达标；非总体保证</x:v>
      </x:c>
      <x:c r="F6" s="8" t="str">
        <x:v>无</x:v>
      </x:c>
      <x:c r="G6" s="2"/>
      <x:c r="H6" s="2"/>
    </x:row>
    <x:row r="7" ht="28" customHeight="1">
      <x:c r="A7" s="9" t="str">
        <x:v>S1000</x:v>
      </x:c>
      <x:c r="B7" s="23" t="n">
        <x:v>0.95</x:v>
      </x:c>
      <x:c r="C7" s="25" t="n">
        <x:v>10</x:v>
      </x:c>
      <x:c r="D7" s="25" t="str">
        <x:v>不可识别</x:v>
      </x:c>
      <x:c r="E7" s="9" t="str">
        <x:v>已观察预算中首次达标；非总体保证</x:v>
      </x:c>
      <x:c r="F7" s="9" t="str">
        <x:v>无</x:v>
      </x:c>
      <x:c r="G7" s="2"/>
      <x:c r="H7" s="2"/>
    </x:row>
    <x:row r="8" ht="28" customHeight="1">
      <x:c r="A8" s="8" t="str">
        <x:v>S1000</x:v>
      </x:c>
      <x:c r="B8" s="22" t="n">
        <x:v>0.99</x:v>
      </x:c>
      <x:c r="C8" s="24" t="n">
        <x:v>10</x:v>
      </x:c>
      <x:c r="D8" s="24" t="str">
        <x:v>不可识别</x:v>
      </x:c>
      <x:c r="E8" s="8" t="str">
        <x:v>已观察预算中首次达标；非总体保证</x:v>
      </x:c>
      <x:c r="F8" s="8" t="str">
        <x:v>无</x:v>
      </x:c>
      <x:c r="G8" s="2"/>
      <x:c r="H8" s="2"/>
    </x:row>
    <x:row r="9" ht="28" customHeight="1">
      <x:c r="A9" s="9" t="str">
        <x:v>S1000</x:v>
      </x:c>
      <x:c r="B9" s="23" t="n">
        <x:v>1</x:v>
      </x:c>
      <x:c r="C9" s="25" t="n">
        <x:v>10</x:v>
      </x:c>
      <x:c r="D9" s="25" t="str">
        <x:v>不可识别</x:v>
      </x:c>
      <x:c r="E9" s="9" t="str">
        <x:v>已观察预算中首次达标；非总体保证</x:v>
      </x:c>
      <x:c r="F9" s="9" t="str">
        <x:v>无</x:v>
      </x:c>
      <x:c r="G9" s="2"/>
      <x:c r="H9" s="2"/>
    </x:row>
    <x:row r="10" ht="28" customHeight="1">
      <x:c r="A10" s="8" t="str">
        <x:v>B200</x:v>
      </x:c>
      <x:c r="B10" s="22" t="n">
        <x:v>0.9</x:v>
      </x:c>
      <x:c r="C10" s="24" t="n">
        <x:v>10</x:v>
      </x:c>
      <x:c r="D10" s="24" t="str">
        <x:v>不可识别</x:v>
      </x:c>
      <x:c r="E10" s="8" t="str">
        <x:v>已观察预算中首次达标；非总体保证</x:v>
      </x:c>
      <x:c r="F10" s="8" t="str">
        <x:v>无</x:v>
      </x:c>
      <x:c r="G10" s="2"/>
      <x:c r="H10" s="2"/>
    </x:row>
    <x:row r="11" ht="28" customHeight="1">
      <x:c r="A11" s="9" t="str">
        <x:v>B200</x:v>
      </x:c>
      <x:c r="B11" s="23" t="n">
        <x:v>0.95</x:v>
      </x:c>
      <x:c r="C11" s="25" t="n">
        <x:v>10</x:v>
      </x:c>
      <x:c r="D11" s="25" t="str">
        <x:v>不可识别</x:v>
      </x:c>
      <x:c r="E11" s="9" t="str">
        <x:v>已观察预算中首次达标；非总体保证</x:v>
      </x:c>
      <x:c r="F11" s="9" t="str">
        <x:v>无</x:v>
      </x:c>
      <x:c r="G11" s="2"/>
      <x:c r="H11" s="2"/>
    </x:row>
    <x:row r="12" ht="28" customHeight="1">
      <x:c r="A12" s="8" t="str">
        <x:v>B200</x:v>
      </x:c>
      <x:c r="B12" s="22" t="n">
        <x:v>0.99</x:v>
      </x:c>
      <x:c r="C12" s="24" t="n">
        <x:v>10</x:v>
      </x:c>
      <x:c r="D12" s="24" t="str">
        <x:v>不可识别</x:v>
      </x:c>
      <x:c r="E12" s="8" t="str">
        <x:v>已观察预算中首次达标；非总体保证</x:v>
      </x:c>
      <x:c r="F12" s="8" t="str">
        <x:v>无</x:v>
      </x:c>
      <x:c r="G12" s="2"/>
      <x:c r="H12" s="2"/>
    </x:row>
    <x:row r="13" ht="28" customHeight="1">
      <x:c r="A13" s="9" t="str">
        <x:v>B200</x:v>
      </x:c>
      <x:c r="B13" s="23" t="n">
        <x:v>1</x:v>
      </x:c>
      <x:c r="C13" s="25" t="n">
        <x:v>10</x:v>
      </x:c>
      <x:c r="D13" s="25" t="str">
        <x:v>不可识别</x:v>
      </x:c>
      <x:c r="E13" s="9" t="str">
        <x:v>已观察预算中首次达标；非总体保证</x:v>
      </x:c>
      <x:c r="F13" s="9" t="str">
        <x:v>无</x:v>
      </x:c>
      <x:c r="G13" s="2"/>
      <x:c r="H13" s="2"/>
    </x:row>
    <x:row r="14" ht="28" customHeight="1">
      <x:c r="A14" s="8" t="str">
        <x:v>Random1000</x:v>
      </x:c>
      <x:c r="B14" s="22" t="n">
        <x:v>0.9</x:v>
      </x:c>
      <x:c r="C14" s="24"/>
      <x:c r="D14" s="24" t="str">
        <x:v>不可识别</x:v>
      </x:c>
      <x:c r="E14" s="8" t="str">
        <x:v>未达到；未来轮数不可识别</x:v>
      </x:c>
      <x:c r="F14" s="8" t="str">
        <x:v>无</x:v>
      </x:c>
      <x:c r="G14" s="2"/>
      <x:c r="H14" s="2"/>
    </x:row>
    <x:row r="15" ht="28" customHeight="1">
      <x:c r="A15" s="9" t="str">
        <x:v>Random1000</x:v>
      </x:c>
      <x:c r="B15" s="23" t="n">
        <x:v>0.95</x:v>
      </x:c>
      <x:c r="C15" s="25"/>
      <x:c r="D15" s="25" t="str">
        <x:v>不可识别</x:v>
      </x:c>
      <x:c r="E15" s="9" t="str">
        <x:v>未达到；未来轮数不可识别</x:v>
      </x:c>
      <x:c r="F15" s="9" t="str">
        <x:v>无</x:v>
      </x:c>
      <x:c r="G15" s="2"/>
      <x:c r="H15" s="2"/>
    </x:row>
    <x:row r="16" ht="28" customHeight="1">
      <x:c r="A16" s="8" t="str">
        <x:v>Random1000</x:v>
      </x:c>
      <x:c r="B16" s="22" t="n">
        <x:v>0.99</x:v>
      </x:c>
      <x:c r="C16" s="24"/>
      <x:c r="D16" s="24" t="str">
        <x:v>不可识别</x:v>
      </x:c>
      <x:c r="E16" s="8" t="str">
        <x:v>未达到；未来轮数不可识别</x:v>
      </x:c>
      <x:c r="F16" s="8" t="str">
        <x:v>无</x:v>
      </x:c>
      <x:c r="G16" s="2"/>
      <x:c r="H16" s="2"/>
    </x:row>
    <x:row r="17" ht="28" customHeight="1">
      <x:c r="A17" s="9" t="str">
        <x:v>Random1000</x:v>
      </x:c>
      <x:c r="B17" s="23" t="n">
        <x:v>1</x:v>
      </x:c>
      <x:c r="C17" s="25"/>
      <x:c r="D17" s="25" t="str">
        <x:v>不可识别</x:v>
      </x:c>
      <x:c r="E17" s="9" t="str">
        <x:v>未达到；未来轮数不可识别</x:v>
      </x:c>
      <x:c r="F17" s="9" t="str">
        <x:v>无</x:v>
      </x:c>
      <x:c r="G17" s="2"/>
      <x:c r="H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2" t="str">
        <x:v>仅比较K=5、10、30，10轮不是逐轮最小达标轮数。</x:v>
      </x:c>
      <x:c r="B20" s="2"/>
      <x:c r="C20" s="2"/>
      <x:c r="D20" s="2"/>
      <x:c r="E20" s="2"/>
      <x:c r="F20" s="2"/>
      <x:c r="G20" s="2"/>
      <x:c r="H20" s="2"/>
    </x:row>
    <x:row r="21" ht="22" customHeight="1">
      <x:c r="A21" s="2" t="str">
        <x:v>S1000：848/1000、1000/1000、1000/1000。B200：165/200、200/200、200/200。</x:v>
      </x:c>
      <x:c r="B21" s="2"/>
      <x:c r="C21" s="2"/>
      <x:c r="D21" s="2"/>
      <x:c r="E21" s="2"/>
      <x:c r="F21" s="2"/>
      <x:c r="G21" s="2"/>
      <x:c r="H21" s="2"/>
    </x:row>
    <x:row r="22" ht="22" customHeight="1">
      <x:c r="A22" s="2" t="str">
        <x:v>Random1000当前M3：0/1000、0/1000、65/1000；检查点观察数997、994、86。</x:v>
      </x:c>
      <x:c r="B22" s="2"/>
      <x:c r="C22" s="2"/>
      <x:c r="D22" s="2"/>
      <x:c r="E22" s="2"/>
      <x:c r="F22" s="2"/>
      <x:c r="G22" s="2"/>
      <x:c r="H22" s="2"/>
    </x:row>
    <x:row r="23" ht="22" customHeight="1">
      <x:c r="A23" s="2" t="str">
        <x:v>指数饱和式S(K)=S∞−(S∞−S0)exp(−λK)需要可识别参数；当前不足以估计总体达标轮数。</x:v>
      </x:c>
      <x:c r="B23" s="2"/>
      <x:c r="C23" s="2"/>
      <x:c r="D23" s="2"/>
      <x:c r="E23" s="2"/>
      <x:c r="F23" s="2"/>
      <x:c r="G23" s="2"/>
      <x:c r="H23" s="2"/>
    </x:row>
    <x:row r="24" ht="22" customHeight="1">
      <x:c r="A24" s="2" t="str">
        <x:v>若S∞&lt;目标比例则无解；目标为100%也不能从有限观测推出普遍有限轮成功。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</x:sheetData>
  <x:pageMargins left="0.7" right="0.7" top="0.75" bottom="0.75" header="0.3" footer="0.3"/>
  <x:tableParts count="1">
    <x:tablePart xmlns:r="http://schemas.openxmlformats.org/officeDocument/2006/relationships" r:id="R39d3fa30cff84d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4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含重试完成率与独立同分布条件情景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p_R为同一重试口径的小步完成概率；下列外推只是条件模型，非1000组实机结果。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" t="str">
        <x:v>参数</x:v>
      </x:c>
      <x:c r="B5" s="2" t="str">
        <x:v>数值</x:v>
      </x:c>
      <x:c r="C5" s="2" t="str">
        <x:v>解释</x:v>
      </x:c>
      <x:c r="D5" s="2"/>
      <x:c r="E5" s="2"/>
      <x:c r="F5" s="2"/>
      <x:c r="G5" s="2"/>
      <x:c r="H5" s="2"/>
    </x:row>
    <x:row r="6" ht="33" customHeight="1">
      <x:c r="A6" s="2" t="str">
        <x:v>重试后完成小步</x:v>
      </x:c>
      <x:c r="B6" s="27" t="n">
        <x:f>SUM(实机记录!C6:C15)</x:f>
        <x:v>99</x:v>
      </x:c>
      <x:c r="C6" s="8" t="str">
        <x:v>由实机记录合计</x:v>
      </x:c>
      <x:c r="D6" s="2"/>
      <x:c r="E6" s="2"/>
      <x:c r="F6" s="2"/>
      <x:c r="G6" s="2"/>
      <x:c r="H6" s="2"/>
    </x:row>
    <x:row r="7" ht="33" customHeight="1">
      <x:c r="A7" s="2" t="str">
        <x:v>计划小步</x:v>
      </x:c>
      <x:c r="B7" s="27" t="n">
        <x:f>SUM(实机记录!B6:B15)</x:f>
        <x:v>100</x:v>
      </x:c>
      <x:c r="C7" s="8" t="str">
        <x:v>由实机记录合计</x:v>
      </x:c>
      <x:c r="D7" s="2"/>
      <x:c r="E7" s="2"/>
      <x:c r="F7" s="2"/>
      <x:c r="G7" s="2"/>
      <x:c r="H7" s="2"/>
    </x:row>
    <x:row r="8" ht="33" customHeight="1">
      <x:c r="A8" s="2" t="str">
        <x:v>p_R</x:v>
      </x:c>
      <x:c r="B8" s="28" t="n">
        <x:f>IF(B7=0,"无分母",B6/B7)</x:f>
        <x:v>0.99</x:v>
      </x:c>
      <x:c r="C8" s="8" t="str">
        <x:v>含重试计划完成比例</x:v>
      </x:c>
      <x:c r="D8" s="2"/>
      <x:c r="E8" s="2"/>
      <x:c r="F8" s="2"/>
      <x:c r="G8" s="2"/>
      <x:c r="H8" s="2"/>
    </x:row>
    <x:row r="9" ht="33" customHeight="1">
      <x:c r="A9" s="2" t="str">
        <x:v>95%二项参考下限</x:v>
      </x:c>
      <x:c r="B9" s="28" t="n">
        <x:f>IF(AND(B6=99,B7=100),汇总来源!B35,"需重算区间")</x:f>
        <x:v>0.9455406146079194</x:v>
      </x:c>
      <x:c r="C9" s="8" t="str">
        <x:v>固定99/100的精确二项参考</x:v>
      </x:c>
      <x:c r="D9" s="2"/>
      <x:c r="E9" s="2"/>
      <x:c r="F9" s="2"/>
      <x:c r="G9" s="2"/>
      <x:c r="H9" s="2"/>
    </x:row>
    <x:row r="10" ht="33" customHeight="1">
      <x:c r="A10" s="2" t="str">
        <x:v>95%二项参考上限</x:v>
      </x:c>
      <x:c r="B10" s="28" t="n">
        <x:f>IF(AND(B6=99,B7=100),汇总来源!B36,"需重算区间")</x:f>
        <x:v>0.9997468539670226</x:v>
      </x:c>
      <x:c r="C10" s="8" t="str">
        <x:v>样本变化时必须重算区间</x:v>
      </x:c>
      <x:c r="D10" s="2"/>
      <x:c r="E10" s="2"/>
      <x:c r="F10" s="2"/>
      <x:c r="G10" s="2"/>
      <x:c r="H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</x:row>
    <x:row r="13" ht="34" customHeight="1">
      <x:c r="A13" s="7" t="str">
        <x:v>条件事件</x:v>
      </x:c>
      <x:c r="B13" s="7" t="str">
        <x:v>要求全成功小步n</x:v>
      </x:c>
      <x:c r="C13" s="7" t="str">
        <x:v>点估计p_R^n</x:v>
      </x:c>
      <x:c r="D13" s="7" t="str">
        <x:v>区间下限变换</x:v>
      </x:c>
      <x:c r="E13" s="7" t="str">
        <x:v>区间上限变换</x:v>
      </x:c>
      <x:c r="F13" s="2"/>
      <x:c r="G13" s="2"/>
      <x:c r="H13" s="2"/>
    </x:row>
    <x:row r="14" ht="28" customHeight="1">
      <x:c r="A14" s="8" t="str">
        <x:v>One planned step</x:v>
      </x:c>
      <x:c r="B14" s="8" t="n">
        <x:v>1</x:v>
      </x:c>
      <x:c r="C14" s="29" t="n">
        <x:f>$B$8^B14</x:f>
        <x:v>0.99</x:v>
      </x:c>
      <x:c r="D14" s="29" t="n">
        <x:f>IF(ISNUMBER($B$9),$B$9^B14,"需重算区间")</x:f>
        <x:v>0.9455406146079194</x:v>
      </x:c>
      <x:c r="E14" s="29" t="n">
        <x:f>IF(ISNUMBER($B$10),$B$10^B14,"需重算区间")</x:f>
        <x:v>0.9997468539670226</x:v>
      </x:c>
      <x:c r="F14" s="2"/>
      <x:c r="G14" s="2"/>
      <x:c r="H14" s="2"/>
    </x:row>
    <x:row r="15" ht="28" customHeight="1">
      <x:c r="A15" s="9" t="str">
        <x:v>One 10-step trajectory</x:v>
      </x:c>
      <x:c r="B15" s="9" t="n">
        <x:v>10</x:v>
      </x:c>
      <x:c r="C15" s="30" t="n">
        <x:f>$B$8^B15</x:f>
        <x:v>0.9043820750088044</x:v>
      </x:c>
      <x:c r="D15" s="30" t="n">
        <x:f>IF(ISNUMBER($B$9),$B$9^B15,"需重算区间")</x:f>
        <x:v>0.5712179969829847</x:v>
      </x:c>
      <x:c r="E15" s="30" t="n">
        <x:f>IF(ISNUMBER($B$10),$B$10^B15,"需重算区间")</x:f>
        <x:v>0.997471421455538</x:v>
      </x:c>
      <x:c r="F15" s="2"/>
      <x:c r="G15" s="2"/>
      <x:c r="H15" s="2"/>
    </x:row>
    <x:row r="16" ht="28" customHeight="1">
      <x:c r="A16" s="8" t="str">
        <x:v>All 1000 steps</x:v>
      </x:c>
      <x:c r="B16" s="8" t="n">
        <x:v>1000</x:v>
      </x:c>
      <x:c r="C16" s="29" t="n">
        <x:f>$B$8^B16</x:f>
        <x:v>0.00004317124741065786</x:v>
      </x:c>
      <x:c r="D16" s="29" t="n">
        <x:f>IF(ISNUMBER($B$9),$B$9^B16,"需重算区间")</x:f>
        <x:v>4.788375509601883e-25</x:v>
      </x:c>
      <x:c r="E16" s="29" t="n">
        <x:f>IF(ISNUMBER($B$10),$B$10^B16,"需重算区间")</x:f>
        <x:v>0.7763296208564259</x:v>
      </x:c>
      <x:c r="F16" s="2"/>
      <x:c r="G16" s="2"/>
      <x:c r="H16" s="2"/>
    </x:row>
    <x:row r="17" ht="28" customHeight="1">
      <x:c r="A17" s="9" t="str">
        <x:v>All 1000 ten-step trajectories</x:v>
      </x:c>
      <x:c r="B17" s="9" t="n">
        <x:v>10000</x:v>
      </x:c>
      <x:c r="C17" s="30" t="n">
        <x:f>$B$8^B17</x:f>
        <x:v>2.2487748498162805e-44</x:v>
      </x:c>
      <x:c r="D17" s="30" t="n">
        <x:f>IF(ISNUMBER($B$9),$B$9^B17,"需重算区间")</x:f>
        <x:v>6.336975223966062e-244</x:v>
      </x:c>
      <x:c r="E17" s="30" t="n">
        <x:f>IF(ISNUMBER($B$10),$B$10^B17,"需重算区间")</x:f>
        <x:v>0.0795172898618194</x:v>
      </x:c>
      <x:c r="F17" s="2"/>
      <x:c r="G17" s="2"/>
      <x:c r="H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2" t="str">
        <x:v>额外期望量</x:v>
      </x:c>
      <x:c r="B20" s="2" t="str">
        <x:v>条件期望</x:v>
      </x:c>
      <x:c r="C20" s="2" t="str">
        <x:v>说明</x:v>
      </x:c>
      <x:c r="D20" s="2"/>
      <x:c r="E20" s="2"/>
      <x:c r="F20" s="2"/>
      <x:c r="G20" s="2"/>
      <x:c r="H20" s="2"/>
    </x:row>
    <x:row r="21" ht="22" customHeight="1">
      <x:c r="A21" s="2" t="str">
        <x:v>1000个小步完成数</x:v>
      </x:c>
      <x:c r="B21" s="31" t="n">
        <x:f>1000*B8</x:f>
        <x:v>990</x:v>
      </x:c>
      <x:c r="C21" s="2" t="str">
        <x:v>仅期望值，不是全部成功概率</x:v>
      </x:c>
      <x:c r="D21" s="2"/>
      <x:c r="E21" s="2"/>
      <x:c r="F21" s="2"/>
      <x:c r="G21" s="2"/>
      <x:c r="H21" s="2"/>
    </x:row>
    <x:row r="22" ht="22" customHeight="1">
      <x:c r="A22" s="2" t="str">
        <x:v>1000条十步轨迹完成数</x:v>
      </x:c>
      <x:c r="B22" s="31" t="n">
        <x:f>1000*B8^10</x:f>
        <x:v>904.3820750088045</x:v>
      </x:c>
      <x:c r="C22" s="2" t="str">
        <x:v>仅期望值，假设轨迹内外独立且同重试政策</x:v>
      </x:c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" t="str">
        <x:v>99/100包括重试成功；不能写为首次成功率99%。完整轨迹实际完成9/10。</x:v>
      </x:c>
      <x:c r="B25" s="2"/>
      <x:c r="C25" s="2"/>
      <x:c r="D25" s="2"/>
      <x:c r="E25" s="2"/>
      <x:c r="F25" s="2"/>
      <x:c r="G25" s="2"/>
      <x:c r="H25" s="2"/>
    </x:row>
    <x:row r="26" ht="22" customHeight="1">
      <x:c r="A26" s="2" t="str">
        <x:v>独立同分布条件：P(一条十步全成)=p_R^10；P(1000条十步全成)=p_R^10000。</x:v>
      </x:c>
      <x:c r="B26" s="2"/>
      <x:c r="C26" s="2"/>
      <x:c r="D26" s="2"/>
      <x:c r="E26" s="2"/>
      <x:c r="F26" s="2"/>
      <x:c r="G26" s="2"/>
      <x:c r="H26" s="2"/>
    </x:row>
    <x:row r="27" ht="22" customHeight="1">
      <x:c r="A27" s="2" t="str">
        <x:v>10组按来源/扰动分层抽样且轨迹内部相关；二项区间仅为条件参考，不是总体可信保证。</x:v>
      </x:c>
      <x:c r="B27" s="2"/>
      <x:c r="C27" s="2"/>
      <x:c r="D27" s="2"/>
      <x:c r="E27" s="2"/>
      <x:c r="F27" s="2"/>
      <x:c r="G27" s="2"/>
      <x:c r="H27" s="2"/>
    </x:row>
    <x:row r="28" ht="22" customHeight="1">
      <x:c r="A28" s="2" t="str">
        <x:v>若中途失败，未执行后续步是删失；本次分母100为计划完成口径，不是所有实际尝试次数。</x:v>
      </x:c>
      <x:c r="B28" s="2"/>
      <x:c r="C28" s="2"/>
      <x:c r="D28" s="2"/>
      <x:c r="E28" s="2"/>
      <x:c r="F28" s="2"/>
      <x:c r="G28" s="2"/>
      <x:c r="H28" s="2"/>
    </x:row>
    <x:row r="29" ht="22" customHeight="1">
      <x:c r="A29" s="2" t="str">
        <x:v>VLA训练数据还需要目标语义、多模态同步、来源分组划分及独立评估。</x:v>
      </x:c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</x:row>
  </x:sheetData>
  <x:pageMargins left="0.7" right="0.7" top="0.75" bottom="0.75" header="0.3" footer="0.3"/>
  <x:tableParts count="1">
    <x:tablePart xmlns:r="http://schemas.openxmlformats.org/officeDocument/2006/relationships" r:id="R9f306871839b4d5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65" hidden="0" customWidth="1"/>
    <x:col min="8" max="8" width="65" hidden="0" customWidth="1"/>
    <x:col min="9" max="9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06包已有实机记录及操作者说明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2" t="str">
        <x:v>99/100为允许重试后的计划小步完成数；未新增实机操作。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7" t="str">
        <x:v>样本ID</x:v>
      </x:c>
      <x:c r="B5" s="7" t="str">
        <x:v>计划小步</x:v>
      </x:c>
      <x:c r="C5" s="7" t="str">
        <x:v>重试口径完成小步</x:v>
      </x:c>
      <x:c r="D5" s="7" t="str">
        <x:v>完整轨迹完成</x:v>
      </x:c>
      <x:c r="E5" s="7" t="str">
        <x:v>首次通过小步</x:v>
      </x:c>
      <x:c r="F5" s="7" t="str">
        <x:v>重试情况</x:v>
      </x:c>
      <x:c r="G5" s="7" t="str">
        <x:v>操作者备注</x:v>
      </x:c>
      <x:c r="H5" s="7" t="str">
        <x:v>证据限制</x:v>
      </x:c>
      <x:c r="I5" s="7" t="str">
        <x:v>来源</x:v>
      </x:c>
    </x:row>
    <x:row r="6" ht="56" customHeight="1">
      <x:c r="A6" s="8" t="str">
        <x:v>WS-0072</x:v>
      </x:c>
      <x:c r="B6" s="24" t="n">
        <x:v>10</x:v>
      </x:c>
      <x:c r="C6" s="24" t="n">
        <x:v>10</x:v>
      </x:c>
      <x:c r="D6" s="24" t="n">
        <x:v>1</x:v>
      </x:c>
      <x:c r="E6" s="24" t="str">
        <x:v>未知</x:v>
      </x:c>
      <x:c r="F6" s="24" t="str">
        <x:v>未记录次数</x:v>
      </x:c>
      <x:c r="G6" s="8" t="str">
        <x:v>用户确认完成；无逐步重试日志</x:v>
      </x:c>
      <x:c r="H6" s="8" t="str">
        <x:v>不可据此断言10步均首次通过</x:v>
      </x:c>
      <x:c r="I6" s="8" t="str">
        <x:v>06/03_正态分层抽样10组_待现场确认/验证与数据/WS-0072.json；用户2026-10-25确认</x:v>
      </x:c>
    </x:row>
    <x:row r="7" ht="56" customHeight="1">
      <x:c r="A7" s="9" t="str">
        <x:v>WS-0098</x:v>
      </x:c>
      <x:c r="B7" s="25" t="n">
        <x:v>10</x:v>
      </x:c>
      <x:c r="C7" s="25" t="n">
        <x:v>9</x:v>
      </x:c>
      <x:c r="D7" s="25" t="n">
        <x:v>0</x:v>
      </x:c>
      <x:c r="E7" s="25" t="str">
        <x:v>未知</x:v>
      </x:c>
      <x:c r="F7" s="25" t="str">
        <x:v>未记录次数</x:v>
      </x:c>
      <x:c r="G7" s="9" t="str">
        <x:v>成功9步，备注称9→10单次角度&gt;175°</x:v>
      </x:c>
      <x:c r="H7" s="9" t="str">
        <x:v>备注与界面glass_wall报警/相邻角度检查不一致，原因待核实</x:v>
      </x:c>
      <x:c r="I7" s="9" t="str">
        <x:v>06/03_正态分层抽样10组_待现场确认/验证与数据/WS-0098.json；用户2026-10-25确认</x:v>
      </x:c>
    </x:row>
    <x:row r="8" ht="56" customHeight="1">
      <x:c r="A8" s="8" t="str">
        <x:v>WS-0190</x:v>
      </x:c>
      <x:c r="B8" s="24" t="n">
        <x:v>10</x:v>
      </x:c>
      <x:c r="C8" s="24" t="n">
        <x:v>10</x:v>
      </x:c>
      <x:c r="D8" s="24" t="n">
        <x:v>1</x:v>
      </x:c>
      <x:c r="E8" s="24" t="str">
        <x:v>未知</x:v>
      </x:c>
      <x:c r="F8" s="24" t="str">
        <x:v>未记录次数</x:v>
      </x:c>
      <x:c r="G8" s="8" t="str">
        <x:v>用户确认完成；无逐步重试日志</x:v>
      </x:c>
      <x:c r="H8" s="8" t="str">
        <x:v>不可据此断言10步均首次通过</x:v>
      </x:c>
      <x:c r="I8" s="8" t="str">
        <x:v>06/03_正态分层抽样10组_待现场确认/验证与数据/WS-0190.json；用户2026-10-25确认</x:v>
      </x:c>
    </x:row>
    <x:row r="9" ht="56" customHeight="1">
      <x:c r="A9" s="9" t="str">
        <x:v>WS-0259</x:v>
      </x:c>
      <x:c r="B9" s="25" t="n">
        <x:v>10</x:v>
      </x:c>
      <x:c r="C9" s="25" t="n">
        <x:v>10</x:v>
      </x:c>
      <x:c r="D9" s="25" t="n">
        <x:v>1</x:v>
      </x:c>
      <x:c r="E9" s="25" t="str">
        <x:v>未知</x:v>
      </x:c>
      <x:c r="F9" s="25" t="str">
        <x:v>未记录次数</x:v>
      </x:c>
      <x:c r="G9" s="9" t="str">
        <x:v>用户确认完成；无逐步重试日志</x:v>
      </x:c>
      <x:c r="H9" s="9" t="str">
        <x:v>不可据此断言10步均首次通过</x:v>
      </x:c>
      <x:c r="I9" s="9" t="str">
        <x:v>06/03_正态分层抽样10组_待现场确认/验证与数据/WS-0259.json；用户2026-10-25确认</x:v>
      </x:c>
    </x:row>
    <x:row r="10" ht="56" customHeight="1">
      <x:c r="A10" s="8" t="str">
        <x:v>WS-0265</x:v>
      </x:c>
      <x:c r="B10" s="24" t="n">
        <x:v>10</x:v>
      </x:c>
      <x:c r="C10" s="24" t="n">
        <x:v>10</x:v>
      </x:c>
      <x:c r="D10" s="24" t="n">
        <x:v>1</x:v>
      </x:c>
      <x:c r="E10" s="24" t="str">
        <x:v>未知</x:v>
      </x:c>
      <x:c r="F10" s="24" t="str">
        <x:v>是</x:v>
      </x:c>
      <x:c r="G10" s="8" t="str">
        <x:v>首次报碰撞，操作者认为未碰撞，重试成功；疑似传感器问题</x:v>
      </x:c>
      <x:c r="H10" s="8" t="str">
        <x:v>传感器原因未确诊；首次分母不能复原</x:v>
      </x:c>
      <x:c r="I10" s="8" t="str">
        <x:v>06/03_正态分层抽样10组_待现场确认/验证与数据/WS-0265.json；用户2026-10-25确认</x:v>
      </x:c>
    </x:row>
    <x:row r="11" ht="56" customHeight="1">
      <x:c r="A11" s="9" t="str">
        <x:v>WS-0277</x:v>
      </x:c>
      <x:c r="B11" s="25" t="n">
        <x:v>10</x:v>
      </x:c>
      <x:c r="C11" s="25" t="n">
        <x:v>10</x:v>
      </x:c>
      <x:c r="D11" s="25" t="n">
        <x:v>1</x:v>
      </x:c>
      <x:c r="E11" s="25" t="str">
        <x:v>未知</x:v>
      </x:c>
      <x:c r="F11" s="25" t="str">
        <x:v>未记录次数</x:v>
      </x:c>
      <x:c r="G11" s="9" t="str">
        <x:v>用户确认完成；无逐步重试日志</x:v>
      </x:c>
      <x:c r="H11" s="9" t="str">
        <x:v>不可据此断言10步均首次通过</x:v>
      </x:c>
      <x:c r="I11" s="9" t="str">
        <x:v>06/03_正态分层抽样10组_待现场确认/验证与数据/WS-0277.json；用户2026-10-25确认</x:v>
      </x:c>
    </x:row>
    <x:row r="12" ht="56" customHeight="1">
      <x:c r="A12" s="8" t="str">
        <x:v>WS-0439</x:v>
      </x:c>
      <x:c r="B12" s="24" t="n">
        <x:v>10</x:v>
      </x:c>
      <x:c r="C12" s="24" t="n">
        <x:v>10</x:v>
      </x:c>
      <x:c r="D12" s="24" t="n">
        <x:v>1</x:v>
      </x:c>
      <x:c r="E12" s="24" t="str">
        <x:v>未知</x:v>
      </x:c>
      <x:c r="F12" s="24" t="str">
        <x:v>未记录次数</x:v>
      </x:c>
      <x:c r="G12" s="8" t="str">
        <x:v>用户确认完成；无逐步重试日志</x:v>
      </x:c>
      <x:c r="H12" s="8" t="str">
        <x:v>不可据此断言10步均首次通过</x:v>
      </x:c>
      <x:c r="I12" s="8" t="str">
        <x:v>06/03_正态分层抽样10组_待现场确认/验证与数据/WS-0439.json；用户2026-10-25确认</x:v>
      </x:c>
    </x:row>
    <x:row r="13" ht="56" customHeight="1">
      <x:c r="A13" s="9" t="str">
        <x:v>WS-0568</x:v>
      </x:c>
      <x:c r="B13" s="25" t="n">
        <x:v>10</x:v>
      </x:c>
      <x:c r="C13" s="25" t="n">
        <x:v>10</x:v>
      </x:c>
      <x:c r="D13" s="25" t="n">
        <x:v>1</x:v>
      </x:c>
      <x:c r="E13" s="25" t="str">
        <x:v>未知</x:v>
      </x:c>
      <x:c r="F13" s="25" t="str">
        <x:v>未记录次数</x:v>
      </x:c>
      <x:c r="G13" s="9" t="str">
        <x:v>用户确认完成；无逐步重试日志</x:v>
      </x:c>
      <x:c r="H13" s="9" t="str">
        <x:v>不可据此断言10步均首次通过</x:v>
      </x:c>
      <x:c r="I13" s="9" t="str">
        <x:v>06/03_正态分层抽样10组_待现场确认/验证与数据/WS-0568.json；用户2026-10-25确认</x:v>
      </x:c>
    </x:row>
    <x:row r="14" ht="56" customHeight="1">
      <x:c r="A14" s="8" t="str">
        <x:v>WS-0661</x:v>
      </x:c>
      <x:c r="B14" s="24" t="n">
        <x:v>10</x:v>
      </x:c>
      <x:c r="C14" s="24" t="n">
        <x:v>10</x:v>
      </x:c>
      <x:c r="D14" s="24" t="n">
        <x:v>1</x:v>
      </x:c>
      <x:c r="E14" s="24" t="str">
        <x:v>未知</x:v>
      </x:c>
      <x:c r="F14" s="24" t="str">
        <x:v>未记录次数</x:v>
      </x:c>
      <x:c r="G14" s="8" t="str">
        <x:v>用户确认完成；无逐步重试日志</x:v>
      </x:c>
      <x:c r="H14" s="8" t="str">
        <x:v>不可据此断言10步均首次通过</x:v>
      </x:c>
      <x:c r="I14" s="8" t="str">
        <x:v>06/03_正态分层抽样10组_待现场确认/验证与数据/WS-0661.json；用户2026-10-25确认</x:v>
      </x:c>
    </x:row>
    <x:row r="15" ht="56" customHeight="1">
      <x:c r="A15" s="9" t="str">
        <x:v>WS-0801</x:v>
      </x:c>
      <x:c r="B15" s="25" t="n">
        <x:v>10</x:v>
      </x:c>
      <x:c r="C15" s="25" t="n">
        <x:v>10</x:v>
      </x:c>
      <x:c r="D15" s="25" t="n">
        <x:v>1</x:v>
      </x:c>
      <x:c r="E15" s="25" t="str">
        <x:v>未知</x:v>
      </x:c>
      <x:c r="F15" s="25" t="str">
        <x:v>未记录次数</x:v>
      </x:c>
      <x:c r="G15" s="9" t="str">
        <x:v>用户确认完成；无逐步重试日志</x:v>
      </x:c>
      <x:c r="H15" s="9" t="str">
        <x:v>不可据此断言10步均首次通过</x:v>
      </x:c>
      <x:c r="I15" s="9" t="str">
        <x:v>06/03_正态分层抽样10组_待现场确认/验证与数据/WS-0801.json；用户2026-10-25确认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2" customHeight="1">
      <x:c r="A17" s="2" t="str">
        <x:v>合计</x:v>
      </x:c>
      <x:c r="B17" s="2" t="n">
        <x:f>SUM(B6:B15)</x:f>
        <x:v>100</x:v>
      </x:c>
      <x:c r="C17" s="2" t="n">
        <x:f>SUM(C6:C15)</x:f>
        <x:v>99</x:v>
      </x:c>
      <x:c r="D17" s="2" t="n">
        <x:f>SUM(D6:D15)</x:f>
        <x:v>9</x:v>
      </x:c>
      <x:c r="E17" s="2"/>
      <x:c r="F17" s="2"/>
      <x:c r="G17" s="2"/>
      <x:c r="H17" s="2"/>
      <x:c r="I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2" customHeight="1">
      <x:c r="A20" s="2" t="str">
        <x:v>WS-0098：成功9步。原因备注、界面glass_wall报警与相邻关节角度核对存在冲突，保留原始说法待核实。</x:v>
      </x:c>
      <x:c r="B20" s="2"/>
      <x:c r="C20" s="2"/>
      <x:c r="D20" s="2"/>
      <x:c r="E20" s="2"/>
      <x:c r="F20" s="2"/>
      <x:c r="G20" s="2"/>
      <x:c r="H20" s="2"/>
      <x:c r="I20" s="2"/>
    </x:row>
    <x:row r="21" ht="22" customHeight="1">
      <x:c r="A21" s="2" t="str">
        <x:v>WS-0265：首次报警后重试成功；传感器问题为操作者推测，未经独立诊断。</x:v>
      </x:c>
      <x:c r="B21" s="2"/>
      <x:c r="C21" s="2"/>
      <x:c r="D21" s="2"/>
      <x:c r="E21" s="2"/>
      <x:c r="F21" s="2"/>
      <x:c r="G21" s="2"/>
      <x:c r="H21" s="2"/>
      <x:c r="I21" s="2"/>
    </x:row>
    <x:row r="22" ht="22" customHeight="1">
      <x:c r="A22" s="2" t="str">
        <x:v>若第j步终止，则后续步骤为未执行/删失；不能将其登记为已执行失败或已执行成功。</x:v>
      </x:c>
      <x:c r="B22" s="2"/>
      <x:c r="C22" s="2"/>
      <x:c r="D22" s="2"/>
      <x:c r="E22" s="2"/>
      <x:c r="F22" s="2"/>
      <x:c r="G22" s="2"/>
      <x:c r="H22" s="2"/>
      <x:c r="I22" s="2"/>
    </x:row>
    <x:row r="23" ht="22" customHeight="1">
      <x:c r="A23" s="2" t="str">
        <x:v>计划完成率与实际尝试成功率不同；重试次数和所有尝试日志不足，首次成功率未知。</x:v>
      </x:c>
      <x:c r="B23" s="2"/>
      <x:c r="C23" s="2"/>
      <x:c r="D23" s="2"/>
      <x:c r="E23" s="2"/>
      <x:c r="F23" s="2"/>
      <x:c r="G23" s="2"/>
      <x:c r="H23" s="2"/>
      <x:c r="I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pageMargins left="0.7" right="0.7" top="0.75" bottom="0.75" header="0.3" footer="0.3"/>
  <x:tableParts count="1">
    <x:tablePart xmlns:r="http://schemas.openxmlformats.org/officeDocument/2006/relationships" r:id="R16d4d34bb952468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  <x:col min="9" max="9" width="85" hidden="0" customWidth="1"/>
    <x:col min="10" max="10" width="15" hidden="0" customWidth="1"/>
    <x:col min="11" max="11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VI.1–VI.4 原始汇总值与证据来源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7" t="str">
        <x:v>阶段</x:v>
      </x:c>
      <x:c r="B5" s="7" t="str">
        <x:v>数据集</x:v>
      </x:c>
      <x:c r="C5" s="7" t="str">
        <x:v>方法</x:v>
      </x:c>
      <x:c r="D5" s="7" t="str">
        <x:v>计划数</x:v>
      </x:c>
      <x:c r="E5" s="7" t="str">
        <x:v>几何通过数</x:v>
      </x:c>
      <x:c r="F5" s="7" t="str">
        <x:v>几何且特征数</x:v>
      </x:c>
      <x:c r="G5" s="7" t="str">
        <x:v>严格S通过数</x:v>
      </x:c>
      <x:c r="H5" s="7" t="str">
        <x:v>适用范围</x:v>
      </x:c>
      <x:c r="I5" s="7" t="str">
        <x:v>项目内来源</x:v>
      </x:c>
      <x:c r="J5" s="2"/>
      <x:c r="K5" s="2"/>
    </x:row>
    <x:row r="6" ht="28" customHeight="1">
      <x:c r="A6" s="8" t="str">
        <x:v>VI.1</x:v>
      </x:c>
      <x:c r="B6" s="8" t="str">
        <x:v>S1000</x:v>
      </x:c>
      <x:c r="C6" s="8" t="str">
        <x:v>原始输入</x:v>
      </x:c>
      <x:c r="D6" s="8" t="n">
        <x:v>1000</x:v>
      </x:c>
      <x:c r="E6" s="8" t="n">
        <x:v>0</x:v>
      </x:c>
      <x:c r="F6" s="8" t="n">
        <x:v>0</x:v>
      </x:c>
      <x:c r="G6" s="8" t="n">
        <x:v>0</x:v>
      </x:c>
      <x:c r="H6" s="8" t="str">
        <x:v>冻结历史场景</x:v>
      </x:c>
      <x:c r="I6" s="8" t="str">
        <x:v>research/collision_neighborhood_20261020/results/analysis_summary.json</x:v>
      </x:c>
      <x:c r="J6" s="2"/>
      <x:c r="K6" s="2"/>
    </x:row>
    <x:row r="7" ht="28" customHeight="1">
      <x:c r="A7" s="9" t="str">
        <x:v>VI.1</x:v>
      </x:c>
      <x:c r="B7" s="9" t="str">
        <x:v>S1000</x:v>
      </x:c>
      <x:c r="C7" s="9" t="str">
        <x:v>旧候选搜索180°</x:v>
      </x:c>
      <x:c r="D7" s="9" t="n">
        <x:v>1000</x:v>
      </x:c>
      <x:c r="E7" s="9" t="n">
        <x:v>237</x:v>
      </x:c>
      <x:c r="F7" s="9"/>
      <x:c r="G7" s="9" t="n">
        <x:v>0</x:v>
      </x:c>
      <x:c r="H7" s="9" t="str">
        <x:v>冻结历史场景；整次搜索，不对应迭代轮数</x:v>
      </x:c>
      <x:c r="I7" s="9" t="str">
        <x:v>research/collision_neighborhood_20261020/results/analysis_summary.json</x:v>
      </x:c>
      <x:c r="J7" s="2"/>
      <x:c r="K7" s="2"/>
    </x:row>
    <x:row r="8" ht="28" customHeight="1">
      <x:c r="A8" s="8" t="str">
        <x:v>VI.1</x:v>
      </x:c>
      <x:c r="B8" s="8" t="str">
        <x:v>S1000</x:v>
      </x:c>
      <x:c r="C8" s="8" t="str">
        <x:v>最近双关节30轮</x:v>
      </x:c>
      <x:c r="D8" s="8" t="n">
        <x:v>1000</x:v>
      </x:c>
      <x:c r="E8" s="8" t="n">
        <x:v>0</x:v>
      </x:c>
      <x:c r="F8" s="8"/>
      <x:c r="G8" s="8" t="n">
        <x:v>0</x:v>
      </x:c>
      <x:c r="H8" s="8" t="str">
        <x:v>冻结历史场景</x:v>
      </x:c>
      <x:c r="I8" s="8" t="str">
        <x:v>research/collision_neighborhood_20261020/results/analysis_summary.json</x:v>
      </x:c>
      <x:c r="J8" s="2"/>
      <x:c r="K8" s="2"/>
    </x:row>
    <x:row r="9" ht="28" customHeight="1">
      <x:c r="A9" s="9" t="str">
        <x:v>VI.2</x:v>
      </x:c>
      <x:c r="B9" s="9" t="str">
        <x:v>S1000</x:v>
      </x:c>
      <x:c r="C9" s="9" t="str">
        <x:v>冻结分级级联</x:v>
      </x:c>
      <x:c r="D9" s="9" t="n">
        <x:v>1000</x:v>
      </x:c>
      <x:c r="E9" s="9" t="n">
        <x:v>426</x:v>
      </x:c>
      <x:c r="F9" s="9"/>
      <x:c r="G9" s="9" t="n">
        <x:v>0</x:v>
      </x:c>
      <x:c r="H9" s="9" t="str">
        <x:v>冻结历史场景；非等成本对比</x:v>
      </x:c>
      <x:c r="I9" s="9" t="str">
        <x:v>research/collision_neighborhood_20261021_vi2_upgrade/results/upgrade_analysis/analysis_summary.json</x:v>
      </x:c>
      <x:c r="J9" s="2"/>
      <x:c r="K9" s="2"/>
    </x:row>
    <x:row r="10" ht="28" customHeight="1">
      <x:c r="A10" s="8" t="str">
        <x:v>VI.2</x:v>
      </x:c>
      <x:c r="B10" s="8" t="str">
        <x:v>S1000</x:v>
      </x:c>
      <x:c r="C10" s="8" t="str">
        <x:v>历史候选事后并集</x:v>
      </x:c>
      <x:c r="D10" s="8" t="n">
        <x:v>1000</x:v>
      </x:c>
      <x:c r="E10" s="8" t="n">
        <x:v>562</x:v>
      </x:c>
      <x:c r="F10" s="8"/>
      <x:c r="G10" s="8" t="n">
        <x:v>0</x:v>
      </x:c>
      <x:c r="H10" s="8" t="str">
        <x:v>事后并集，不能作为独立前瞻试验</x:v>
      </x:c>
      <x:c r="I10" s="8" t="str">
        <x:v>research/collision_neighborhood_20261021_vi2_upgrade/results/upgrade_analysis/analysis_summary.json</x:v>
      </x:c>
      <x:c r="J10" s="2"/>
      <x:c r="K10" s="2"/>
    </x:row>
    <x:row r="11" ht="28" customHeight="1">
      <x:c r="A11" s="9" t="str">
        <x:v>VI.3</x:v>
      </x:c>
      <x:c r="B11" s="9" t="str">
        <x:v>S1000</x:v>
      </x:c>
      <x:c r="C11" s="9" t="str">
        <x:v>共同偏置加局部组合</x:v>
      </x:c>
      <x:c r="D11" s="9" t="n">
        <x:v>1000</x:v>
      </x:c>
      <x:c r="E11" s="9" t="n">
        <x:v>1000</x:v>
      </x:c>
      <x:c r="F11" s="9" t="n">
        <x:v>400</x:v>
      </x:c>
      <x:c r="G11" s="9" t="n">
        <x:v>0</x:v>
      </x:c>
      <x:c r="H11" s="9" t="str">
        <x:v>冻结历史场景；拟合400加局部600</x:v>
      </x:c>
      <x:c r="I11" s="9" t="str">
        <x:v>research/collision_neighborhood_20261023_vi3/results/local_blocks_analysis/summary.json</x:v>
      </x:c>
      <x:c r="J11" s="2"/>
      <x:c r="K11" s="2"/>
    </x:row>
    <x:row r="12" ht="28" customHeight="1">
      <x:c r="A12" s="8" t="str">
        <x:v>VI.3</x:v>
      </x:c>
      <x:c r="B12" s="8" t="str">
        <x:v>B200</x:v>
      </x:c>
      <x:c r="C12" s="8" t="str">
        <x:v>同源新变体</x:v>
      </x:c>
      <x:c r="D12" s="8" t="n">
        <x:v>200</x:v>
      </x:c>
      <x:c r="E12" s="8" t="n">
        <x:v>200</x:v>
      </x:c>
      <x:c r="F12" s="8" t="n">
        <x:v>80</x:v>
      </x:c>
      <x:c r="G12" s="8" t="n">
        <x:v>0</x:v>
      </x:c>
      <x:c r="H12" s="8" t="str">
        <x:v>同一来源分布；非跨任务独立验证</x:v>
      </x:c>
      <x:c r="I12" s="8" t="str">
        <x:v>research/collision_neighborhood_20261023_vi3/results/local_blocks_analysis/summary.json</x:v>
      </x:c>
      <x:c r="J12" s="2"/>
      <x:c r="K12" s="2"/>
    </x:row>
    <x:row r="13" ht="28" customHeight="1">
      <x:c r="A13" s="9" t="str">
        <x:v>VI.4</x:v>
      </x:c>
      <x:c r="B13" s="9" t="str">
        <x:v>Random1000</x:v>
      </x:c>
      <x:c r="C13" s="9" t="str">
        <x:v>原始输入</x:v>
      </x:c>
      <x:c r="D13" s="9" t="n">
        <x:v>1000</x:v>
      </x:c>
      <x:c r="E13" s="9" t="n">
        <x:v>0</x:v>
      </x:c>
      <x:c r="F13" s="9" t="n">
        <x:v>0</x:v>
      </x:c>
      <x:c r="G13" s="9"/>
      <x:c r="H13" s="9" t="str">
        <x:v>当前场景</x:v>
      </x:c>
      <x:c r="I13" s="9" t="str">
        <x:v>research/vi4_random1000_20261024/results/analysis_summary.json</x:v>
      </x:c>
      <x:c r="J13" s="2"/>
      <x:c r="K13" s="2"/>
    </x:row>
    <x:row r="14" ht="28" customHeight="1">
      <x:c r="A14" s="8" t="str">
        <x:v>VI.4</x:v>
      </x:c>
      <x:c r="B14" s="8" t="str">
        <x:v>Random1000</x:v>
      </x:c>
      <x:c r="C14" s="8" t="str">
        <x:v>M0_90</x:v>
      </x:c>
      <x:c r="D14" s="8" t="n">
        <x:v>1000</x:v>
      </x:c>
      <x:c r="E14" s="8" t="n">
        <x:v>0</x:v>
      </x:c>
      <x:c r="F14" s="8" t="n">
        <x:v>0</x:v>
      </x:c>
      <x:c r="G14" s="8"/>
      <x:c r="H14" s="8" t="str">
        <x:v>当前场景；各配置计算预算不同</x:v>
      </x:c>
      <x:c r="I14" s="8" t="str">
        <x:v>research/vi4_random1000_20261024/results/analysis_summary.json</x:v>
      </x:c>
      <x:c r="J14" s="2"/>
      <x:c r="K14" s="2"/>
    </x:row>
    <x:row r="15" ht="28" customHeight="1">
      <x:c r="A15" s="9" t="str">
        <x:v>VI.4</x:v>
      </x:c>
      <x:c r="B15" s="9" t="str">
        <x:v>Random1000</x:v>
      </x:c>
      <x:c r="C15" s="9" t="str">
        <x:v>M0_180</x:v>
      </x:c>
      <x:c r="D15" s="9" t="n">
        <x:v>1000</x:v>
      </x:c>
      <x:c r="E15" s="9" t="n">
        <x:v>5</x:v>
      </x:c>
      <x:c r="F15" s="9" t="n">
        <x:v>0</x:v>
      </x:c>
      <x:c r="G15" s="9"/>
      <x:c r="H15" s="9" t="str">
        <x:v>当前场景；各配置计算预算不同</x:v>
      </x:c>
      <x:c r="I15" s="9" t="str">
        <x:v>research/vi4_random1000_20261024/results/analysis_summary.json</x:v>
      </x:c>
      <x:c r="J15" s="2"/>
      <x:c r="K15" s="2"/>
    </x:row>
    <x:row r="16" ht="28" customHeight="1">
      <x:c r="A16" s="8" t="str">
        <x:v>VI.4</x:v>
      </x:c>
      <x:c r="B16" s="8" t="str">
        <x:v>Random1000</x:v>
      </x:c>
      <x:c r="C16" s="8" t="str">
        <x:v>M0_360</x:v>
      </x:c>
      <x:c r="D16" s="8" t="n">
        <x:v>1000</x:v>
      </x:c>
      <x:c r="E16" s="8" t="n">
        <x:v>0</x:v>
      </x:c>
      <x:c r="F16" s="8" t="n">
        <x:v>0</x:v>
      </x:c>
      <x:c r="G16" s="8"/>
      <x:c r="H16" s="8" t="str">
        <x:v>当前场景；各配置计算预算不同</x:v>
      </x:c>
      <x:c r="I16" s="8" t="str">
        <x:v>research/vi4_random1000_20261024/results/analysis_summary.json</x:v>
      </x:c>
      <x:c r="J16" s="2"/>
      <x:c r="K16" s="2"/>
    </x:row>
    <x:row r="17" ht="28" customHeight="1">
      <x:c r="A17" s="9" t="str">
        <x:v>VI.4</x:v>
      </x:c>
      <x:c r="B17" s="9" t="str">
        <x:v>Random1000</x:v>
      </x:c>
      <x:c r="C17" s="9" t="str">
        <x:v>M1_180</x:v>
      </x:c>
      <x:c r="D17" s="9" t="n">
        <x:v>1000</x:v>
      </x:c>
      <x:c r="E17" s="9" t="n">
        <x:v>0</x:v>
      </x:c>
      <x:c r="F17" s="9" t="n">
        <x:v>0</x:v>
      </x:c>
      <x:c r="G17" s="9"/>
      <x:c r="H17" s="9" t="str">
        <x:v>当前场景；各配置计算预算不同</x:v>
      </x:c>
      <x:c r="I17" s="9" t="str">
        <x:v>research/vi4_random1000_20261024/results/analysis_summary.json</x:v>
      </x:c>
      <x:c r="J17" s="2"/>
      <x:c r="K17" s="2"/>
    </x:row>
    <x:row r="18" ht="28" customHeight="1">
      <x:c r="A18" s="8" t="str">
        <x:v>VI.4</x:v>
      </x:c>
      <x:c r="B18" s="8" t="str">
        <x:v>Random1000</x:v>
      </x:c>
      <x:c r="C18" s="8" t="str">
        <x:v>M2_180</x:v>
      </x:c>
      <x:c r="D18" s="8" t="n">
        <x:v>1000</x:v>
      </x:c>
      <x:c r="E18" s="8" t="n">
        <x:v>7</x:v>
      </x:c>
      <x:c r="F18" s="8" t="n">
        <x:v>0</x:v>
      </x:c>
      <x:c r="G18" s="8"/>
      <x:c r="H18" s="8" t="str">
        <x:v>当前场景；各配置计算预算不同</x:v>
      </x:c>
      <x:c r="I18" s="8" t="str">
        <x:v>research/vi4_random1000_20261024/results/analysis_summary.json</x:v>
      </x:c>
      <x:c r="J18" s="2"/>
      <x:c r="K18" s="2"/>
    </x:row>
    <x:row r="19" ht="28" customHeight="1">
      <x:c r="A19" s="9" t="str">
        <x:v>VI.4</x:v>
      </x:c>
      <x:c r="B19" s="9" t="str">
        <x:v>Random1000</x:v>
      </x:c>
      <x:c r="C19" s="9" t="str">
        <x:v>M3_raw_local360</x:v>
      </x:c>
      <x:c r="D19" s="9" t="n">
        <x:v>1000</x:v>
      </x:c>
      <x:c r="E19" s="9" t="n">
        <x:v>65</x:v>
      </x:c>
      <x:c r="F19" s="9" t="n">
        <x:v>0</x:v>
      </x:c>
      <x:c r="G19" s="9"/>
      <x:c r="H19" s="9" t="str">
        <x:v>当前场景；各配置计算预算不同</x:v>
      </x:c>
      <x:c r="I19" s="9" t="str">
        <x:v>research/vi4_random1000_20261024/results/analysis_summary.json</x:v>
      </x:c>
      <x:c r="J19" s="2"/>
      <x:c r="K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2" customHeight="1">
      <x:c r="A22" s="2" t="str">
        <x:v>空白表示未测量或不适用，不能改成零；历史场景结果与当前场景结果分开解释。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2" customHeight="1">
      <x:c r="A24" s="5" t="str">
        <x:v>来源编号</x:v>
      </x:c>
      <x:c r="B24" s="5" t="str">
        <x:v>来源相对路径</x:v>
      </x:c>
      <x:c r="C24" s="5" t="str">
        <x:v>SHA-256</x:v>
      </x:c>
      <x:c r="D24" s="2"/>
      <x:c r="E24" s="2"/>
      <x:c r="F24" s="2"/>
      <x:c r="G24" s="2"/>
      <x:c r="H24" s="2"/>
      <x:c r="I24" s="2"/>
      <x:c r="J24" s="2"/>
      <x:c r="K24" s="2"/>
    </x:row>
    <x:row r="25" ht="62" customHeight="1">
      <x:c r="A25" s="2" t="n">
        <x:v>1</x:v>
      </x:c>
      <x:c r="B25" s="8" t="str">
        <x:v>research/collision_neighborhood_20261020/results/analysis_summary.json</x:v>
      </x:c>
      <x:c r="C25" s="10" t="str">
        <x:v>4c10a3ff09130974d70366720bc45efad5c0d0a16f9d7c9c6da699737bb61ee3</x:v>
      </x:c>
      <x:c r="D25" s="2"/>
      <x:c r="E25" s="2"/>
      <x:c r="F25" s="2"/>
      <x:c r="G25" s="2"/>
      <x:c r="H25" s="2"/>
      <x:c r="I25" s="2"/>
      <x:c r="J25" s="2"/>
      <x:c r="K25" s="2"/>
    </x:row>
    <x:row r="26" ht="62" customHeight="1">
      <x:c r="A26" s="2" t="n">
        <x:v>2</x:v>
      </x:c>
      <x:c r="B26" s="8" t="str">
        <x:v>research/collision_neighborhood_20261021_vi2_upgrade/results/upgrade_analysis/analysis_summary.json</x:v>
      </x:c>
      <x:c r="C26" s="10" t="str">
        <x:v>b7d18a96cd014a765aa8a6ea7a26a5e077a09bf12f76d912e2fa16dfa7fa9473</x:v>
      </x:c>
      <x:c r="D26" s="2"/>
      <x:c r="E26" s="2"/>
      <x:c r="F26" s="2"/>
      <x:c r="G26" s="2"/>
      <x:c r="H26" s="2"/>
      <x:c r="I26" s="2"/>
      <x:c r="J26" s="2"/>
      <x:c r="K26" s="2"/>
    </x:row>
    <x:row r="27" ht="62" customHeight="1">
      <x:c r="A27" s="2" t="n">
        <x:v>3</x:v>
      </x:c>
      <x:c r="B27" s="8" t="str">
        <x:v>research/collision_neighborhood_20261023_vi3/results/local_blocks_analysis/summary.json</x:v>
      </x:c>
      <x:c r="C27" s="10" t="str">
        <x:v>c43a81d19a1a85733bdce09f96802e9630e11c3c378ab84215a75d3588f35dfe</x:v>
      </x:c>
      <x:c r="D27" s="2"/>
      <x:c r="E27" s="2"/>
      <x:c r="F27" s="2"/>
      <x:c r="G27" s="2"/>
      <x:c r="H27" s="2"/>
      <x:c r="I27" s="2"/>
      <x:c r="J27" s="2"/>
      <x:c r="K27" s="2"/>
    </x:row>
    <x:row r="28" ht="62" customHeight="1">
      <x:c r="A28" s="2" t="n">
        <x:v>4</x:v>
      </x:c>
      <x:c r="B28" s="8" t="str">
        <x:v>research/vi4_random1000_20261024/results/vi4_analysis/workbook_input.json</x:v>
      </x:c>
      <x:c r="C28" s="10" t="str">
        <x:v>891acc0e3279b07b6e9c8ea013b6a6f017edb47c64b5caa32d1069236777f1f4</x:v>
      </x:c>
      <x:c r="D28" s="2"/>
      <x:c r="E28" s="2"/>
      <x:c r="F28" s="2"/>
      <x:c r="G28" s="2"/>
      <x:c r="H28" s="2"/>
      <x:c r="I28" s="2"/>
      <x:c r="J28" s="2"/>
      <x:c r="K28" s="2"/>
    </x:row>
    <x:row r="29" ht="62" customHeight="1">
      <x:c r="A29" s="2" t="n">
        <x:v>5</x:v>
      </x:c>
      <x:c r="B29" s="8" t="str">
        <x:v>research/vi4_random1000_20261024/results/analysis_summary.json</x:v>
      </x:c>
      <x:c r="C29" s="10" t="str">
        <x:v>4e01d654060ad0934132bc36e1642e1ca3b066547809e065e19ac34d8bf9f60d</x:v>
      </x:c>
      <x:c r="D29" s="2"/>
      <x:c r="E29" s="2"/>
      <x:c r="F29" s="2"/>
      <x:c r="G29" s="2"/>
      <x:c r="H29" s="2"/>
      <x:c r="I29" s="2"/>
      <x:c r="J29" s="2"/>
      <x:c r="K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2" customHeight="1">
      <x:c r="A33" s="2" t="str">
        <x:v>条件二项参考量</x:v>
      </x:c>
      <x:c r="B33" s="2" t="str">
        <x:v>数值</x:v>
      </x:c>
      <x:c r="C33" s="2" t="str">
        <x:v>计算来源</x:v>
      </x:c>
      <x:c r="D33" s="2"/>
      <x:c r="E33" s="2"/>
      <x:c r="F33" s="2"/>
      <x:c r="G33" s="2"/>
      <x:c r="H33" s="2"/>
      <x:c r="I33" s="2"/>
      <x:c r="J33" s="2"/>
      <x:c r="K33" s="2"/>
    </x:row>
    <x:row r="34" ht="22" customHeight="1">
      <x:c r="A34" s="2" t="str">
        <x:v>固定样本成功/计划</x:v>
      </x:c>
      <x:c r="B34" s="2" t="n">
        <x:v>99</x:v>
      </x:c>
      <x:c r="C34" s="2" t="str">
        <x:v>100；用户确认含重试</x:v>
      </x:c>
      <x:c r="D34" s="2"/>
      <x:c r="E34" s="2"/>
      <x:c r="F34" s="2"/>
      <x:c r="G34" s="2"/>
      <x:c r="H34" s="2"/>
      <x:c r="I34" s="2"/>
      <x:c r="J34" s="2"/>
      <x:c r="K34" s="2"/>
    </x:row>
    <x:row r="35" ht="22" customHeight="1">
      <x:c r="A35" s="2" t="str">
        <x:v>95% Clopper–Pearson下限</x:v>
      </x:c>
      <x:c r="B35" s="11" t="n">
        <x:v>0.9455406146079194</x:v>
      </x:c>
      <x:c r="C35" s="2" t="str">
        <x:v>SciPy 1.15.3 beta.ppf(0.025,99,2)</x:v>
      </x:c>
      <x:c r="D35" s="2"/>
      <x:c r="E35" s="2"/>
      <x:c r="F35" s="2"/>
      <x:c r="G35" s="2"/>
      <x:c r="H35" s="2"/>
      <x:c r="I35" s="2"/>
      <x:c r="J35" s="2"/>
      <x:c r="K35" s="2"/>
    </x:row>
    <x:row r="36" ht="22" customHeight="1">
      <x:c r="A36" s="2" t="str">
        <x:v>95% Clopper–Pearson上限</x:v>
      </x:c>
      <x:c r="B36" s="11" t="n">
        <x:v>0.9997468539670226</x:v>
      </x:c>
      <x:c r="C36" s="2" t="str">
        <x:v>SciPy 1.15.3 beta.ppf(0.975,100,1)</x:v>
      </x:c>
      <x:c r="D36" s="2"/>
      <x:c r="E36" s="2"/>
      <x:c r="F36" s="2"/>
      <x:c r="G36" s="2"/>
      <x:c r="H36" s="2"/>
      <x:c r="I36" s="2"/>
      <x:c r="J36" s="2"/>
      <x:c r="K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2" customHeight="1">
      <x:c r="A38" s="2" t="str">
        <x:v>二项区间只作独立同分布条件示例；分层样本与轨迹内相关性使其不能作为总体保证。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</x:sheetData>
  <x:pageMargins left="0.7" right="0.7" top="0.75" bottom="0.75" header="0.3" footer="0.3"/>
  <x:tableParts count="1">
    <x:tablePart xmlns:r="http://schemas.openxmlformats.org/officeDocument/2006/relationships" r:id="R8f9e2532871643d1"/>
  </x:tableParts>
</x:worksheet>
</file>