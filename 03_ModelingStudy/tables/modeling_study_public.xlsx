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2ce268917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d_3" sheetId="1" r:id="R8eec85c19b3b4088"/>
    <x:sheet xmlns:r="http://schemas.openxmlformats.org/officeDocument/2006/relationships" name="Task_design_50" sheetId="2" r:id="R0f7d218b14764b28"/>
    <x:sheet xmlns:r="http://schemas.openxmlformats.org/officeDocument/2006/relationships" name="Readme" sheetId="3" r:id="Rccd9f8dfe9ca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4">
    <x:font>
      <x:sz val="11"/>
      <x:name val="Carlito"/>
    </x:font>
    <x:font>
      <x:sz val="10"/>
      <x:name val="Arial"/>
    </x:font>
    <x:font>
      <x:b/>
      <x:sz val="10"/>
      <x:color rgb="FF111111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E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f6c480de0477c" /><Relationship Type="http://schemas.openxmlformats.org/officeDocument/2006/relationships/theme" Target="/xl/theme/theme1.xml" Id="R81f12bdb66104433" /><Relationship Type="http://schemas.microsoft.com/office/2022/11/relationships/FeaturePropertyBag" Target="/xl/featurePropertyBag/featurePropertyBag.xml" Id="R784ee665aacd44de" /><Relationship Type="http://schemas.openxmlformats.org/officeDocument/2006/relationships/sharedStrings" Target="/xl/sharedStrings.xml" Id="R0ce0e4ea6dfa47ff" /><Relationship Type="http://schemas.openxmlformats.org/officeDocument/2006/relationships/worksheet" Target="/xl/worksheets/sheet1.xml" Id="R8eec85c19b3b4088" /><Relationship Type="http://schemas.openxmlformats.org/officeDocument/2006/relationships/worksheet" Target="/xl/worksheets/sheet2.xml" Id="R0f7d218b14764b28" /><Relationship Type="http://schemas.openxmlformats.org/officeDocument/2006/relationships/worksheet" Target="/xl/worksheets/sheet3.xml" Id="Rccd9f8dfe9ca40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asuredRecords" displayName="MeasuredRecords" ref="A1:G4" headerRowCount="1" totalsRowCount="0" totalsRowShown="0">
  <x:tableColumns count="7">
    <x:tableColumn id="1" name="Task ID"/>
    <x:tableColumn id="2" name="Task / 建模任务"/>
    <x:tableColumn id="3" name="No-rule prompts"/>
    <x:tableColumn id="4" name="No-rule time (min)"/>
    <x:tableColumn id="5" name="Configured prompts"/>
    <x:tableColumn id="6" name="Configured time (min)"/>
    <x:tableColumn id="7" name="Record ori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Design" displayName="TaskDesign" ref="A1:D51" headerRowCount="1" totalsRowCount="0" totalsRowShown="0">
  <x:tableColumns count="4">
    <x:tableColumn id="1" name="Task ID"/>
    <x:tableColumn id="2" name="Task / 建模任务"/>
    <x:tableColumn id="3" name="Original common prompt / 共同提示词"/>
    <x:tableColumn id="4" name="Has measured reco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4e52778f3e48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8523c1e1a64d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2" customHeight="1">
      <x:c r="A1" s="5" t="str">
        <x:v>Task ID</x:v>
      </x:c>
      <x:c r="B1" s="5" t="str">
        <x:v>Task / 建模任务</x:v>
      </x:c>
      <x:c r="C1" s="5" t="str">
        <x:v>No-rule prompts</x:v>
      </x:c>
      <x:c r="D1" s="5" t="str">
        <x:v>No-rule time (min)</x:v>
      </x:c>
      <x:c r="E1" s="5" t="str">
        <x:v>Configured prompts</x:v>
      </x:c>
      <x:c r="F1" s="5" t="str">
        <x:v>Configured time (min)</x:v>
      </x:c>
      <x:c r="G1" s="5" t="str">
        <x:v>Record origin</x:v>
      </x:c>
    </x:row>
    <x:row r="2" ht="28" customHeight="1">
      <x:c r="A2" s="2" t="str">
        <x:v>M01</x:v>
      </x:c>
      <x:c r="B2" s="2" t="str">
        <x:v>矩形单孔板</x:v>
      </x:c>
      <x:c r="C2" s="6" t="n">
        <x:v>3</x:v>
      </x:c>
      <x:c r="D2" s="7" t="n">
        <x:v>13</x:v>
      </x:c>
      <x:c r="E2" s="6" t="n">
        <x:v>1</x:v>
      </x:c>
      <x:c r="F2" s="7" t="n">
        <x:v>5</x:v>
      </x:c>
      <x:c r="G2" s="2" t="str">
        <x:v>实填</x:v>
      </x:c>
    </x:row>
    <x:row r="3" ht="28" customHeight="1">
      <x:c r="A3" s="2" t="str">
        <x:v>M41</x:v>
      </x:c>
      <x:c r="B3" s="2" t="str">
        <x:v>矩形到圆形过渡体</x:v>
      </x:c>
      <x:c r="C3" s="6" t="n">
        <x:v>4</x:v>
      </x:c>
      <x:c r="D3" s="7" t="n">
        <x:v>14</x:v>
      </x:c>
      <x:c r="E3" s="6" t="n">
        <x:v>1</x:v>
      </x:c>
      <x:c r="F3" s="7" t="n">
        <x:v>5.5</x:v>
      </x:c>
      <x:c r="G3" s="2" t="str">
        <x:v>实填</x:v>
      </x:c>
    </x:row>
    <x:row r="4" ht="28" customHeight="1">
      <x:c r="A4" s="2" t="str">
        <x:v>M47</x:v>
      </x:c>
      <x:c r="B4" s="2" t="str">
        <x:v>底座与双定位销装配</x:v>
      </x:c>
      <x:c r="C4" s="6" t="n">
        <x:v>3</x:v>
      </x:c>
      <x:c r="D4" s="7" t="n">
        <x:v>17</x:v>
      </x:c>
      <x:c r="E4" s="6" t="n">
        <x:v>1</x:v>
      </x:c>
      <x:c r="F4" s="7" t="n">
        <x:v>4.5</x:v>
      </x:c>
      <x:c r="G4" s="2" t="str">
        <x:v>实填</x:v>
      </x:c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32" customHeight="1">
      <x:c r="A7" s="11" t="str">
        <x:v>Summary</x:v>
      </x:c>
      <x:c r="B7" s="11" t="str">
        <x:v>Definition</x:v>
      </x:c>
      <x:c r="C7" s="11" t="str">
        <x:v>No-rule prompts</x:v>
      </x:c>
      <x:c r="D7" s="11" t="str">
        <x:v>No-rule time (min)</x:v>
      </x:c>
      <x:c r="E7" s="11" t="str">
        <x:v>Configured prompts</x:v>
      </x:c>
      <x:c r="F7" s="11" t="str">
        <x:v>Configured time (min)</x:v>
      </x:c>
      <x:c r="G7" s="11" t="str"/>
    </x:row>
    <x:row r="8">
      <x:c r="A8" s="2" t="str">
        <x:v>Total</x:v>
      </x:c>
      <x:c r="B8" s="2" t="str">
        <x:v>Three paired tasks</x:v>
      </x:c>
      <x:c r="C8" s="2" t="n">
        <x:f>SUM(C2:C4)</x:f>
        <x:v>10</x:v>
      </x:c>
      <x:c r="D8" s="2" t="n">
        <x:f>SUM(D2:D4)</x:f>
        <x:v>44</x:v>
      </x:c>
      <x:c r="E8" s="2" t="n">
        <x:f>SUM(E2:E4)</x:f>
        <x:v>3</x:v>
      </x:c>
      <x:c r="F8" s="2" t="n">
        <x:f>SUM(F2:F4)</x:f>
        <x:v>15</x:v>
      </x:c>
      <x:c r="G8" s="2"/>
    </x:row>
    <x:row r="9">
      <x:c r="A9" s="2"/>
      <x:c r="B9" s="2"/>
      <x:c r="C9" s="2"/>
      <x:c r="D9" s="2"/>
      <x:c r="E9" s="2"/>
      <x:c r="F9" s="2"/>
      <x:c r="G9" s="2"/>
    </x:row>
    <x:row r="10" ht="34" customHeight="1">
      <x:c r="A10" s="2" t="str">
        <x:v>Prompt reduction</x:v>
      </x:c>
      <x:c r="B10" s="12" t="str">
        <x:v>(Total no-rule − configured) / no-rule</x:v>
      </x:c>
      <x:c r="C10" s="8" t="n">
        <x:f>(C8-E8)/C8</x:f>
        <x:v>0.7</x:v>
      </x:c>
      <x:c r="D10" s="2"/>
      <x:c r="E10" s="2"/>
      <x:c r="F10" s="2"/>
      <x:c r="G10" s="2"/>
    </x:row>
    <x:row r="11" ht="34" customHeight="1">
      <x:c r="A11" s="2" t="str">
        <x:v>Time reduction</x:v>
      </x:c>
      <x:c r="B11" s="12" t="str">
        <x:v>(Total no-rule − configured) / no-rule</x:v>
      </x:c>
      <x:c r="C11" s="8" t="n">
        <x:f>(D8-F8)/D8</x:f>
        <x:v>0.6590909090909091</x:v>
      </x:c>
      <x:c r="D11" s="2"/>
      <x:c r="E11" s="2"/>
      <x:c r="F11" s="2"/>
      <x:c r="G11" s="2"/>
    </x:row>
    <x:row r="12">
      <x:c r="A12" s="2"/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 ht="32" customHeight="1">
      <x:c r="A14" s="2" t="str">
        <x:v>Scope</x:v>
      </x:c>
      <x:c r="B14" s="12" t="str">
        <x:v>Only M01, M41 and M47 are measured.</x:v>
      </x:c>
      <x:c r="C14" s="2"/>
      <x:c r="D14" s="2"/>
      <x:c r="E14" s="2"/>
      <x:c r="F14" s="2"/>
      <x:c r="G14" s="2"/>
    </x:row>
    <x:row r="15" ht="32" customHeight="1">
      <x:c r="A15" s="2" t="str">
        <x:v>Source</x:v>
      </x:c>
      <x:c r="B15" s="12" t="str">
        <x:v>measured_records_3.csv</x:v>
      </x:c>
      <x:c r="C15" s="2"/>
      <x:c r="D15" s="2"/>
      <x:c r="E15" s="2"/>
      <x:c r="F15" s="2"/>
      <x:c r="G15" s="2"/>
    </x:row>
    <x:row r="16" ht="32" customHeight="1">
      <x:c r="A16" s="2" t="str">
        <x:v>Not measured</x:v>
      </x:c>
      <x:c r="B16" s="12" t="str">
        <x:v>47 artificial fill rows are excluded.</x:v>
      </x:c>
      <x:c r="C16" s="2"/>
      <x:c r="D16" s="2"/>
      <x:c r="E16" s="2"/>
      <x:c r="F16" s="2"/>
      <x:c r="G16" s="2"/>
    </x:row>
  </x:sheetData>
  <x:pageMargins left="0.7" right="0.7" top="0.75" bottom="0.75" header="0.3" footer="0.3"/>
  <x:tableParts count="1">
    <x:tablePart xmlns:r="http://schemas.openxmlformats.org/officeDocument/2006/relationships" r:id="Re64e52778f3e483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105" hidden="0" customWidth="1"/>
    <x:col min="4" max="4" width="18" hidden="0" customWidth="1"/>
  </x:cols>
  <x:sheetData>
    <x:row r="1" ht="32" customHeight="1">
      <x:c r="A1" s="5" t="str">
        <x:v>Task ID</x:v>
      </x:c>
      <x:c r="B1" s="5" t="str">
        <x:v>Task / 建模任务</x:v>
      </x:c>
      <x:c r="C1" s="5" t="str">
        <x:v>Original common prompt / 共同提示词</x:v>
      </x:c>
      <x:c r="D1" s="5" t="str">
        <x:v>Has measured record</x:v>
      </x:c>
    </x:row>
    <x:row r="2" ht="102" customHeight="1">
      <x:c r="A2" s="12" t="str">
        <x:v>M01</x:v>
      </x:c>
      <x:c r="B2" s="12" t="str">
        <x:v>矩形单孔板</x:v>
      </x:c>
      <x:c r="C2" s="12" t="str">
        <x:v>单位均为mm。在XY平面建立80×50的矩形板，板中心为原点，沿+Z拉伸8。板中心开一个直径16的贯穿圆孔，孔轴平行Z。板外轮廓保持直角，不加圆角或倒角；除该孔外不增加其他结构。使用Autodesk Inventor完成。保存为可编辑原生零件文件，路径为当前项目models/M01/，主文件名M01.ipt；另保存一张能看清主要结构的等轴测预览M01.png。</x:v>
      </x:c>
      <x:c r="D2" s="16" t="b">
        <x:v>1</x:v>
      </x:c>
    </x:row>
    <x:row r="3" ht="102" customHeight="1">
      <x:c r="A3" s="12" t="str">
        <x:v>M02</x:v>
      </x:c>
      <x:c r="B3" s="12" t="str">
        <x:v>四角安装板</x:v>
      </x:c>
      <x:c r="C3" s="12" t="str">
        <x:v>单位均为mm。建立100×70×10的矩形板，XY中心位于原点，底面Z=0。开四个直径8的Z向通孔，孔中心坐标为(±35,±20)。四孔同径且对称，外缘保持直角。使用Autodesk Inventor完成。保存为可编辑原生零件文件，路径为当前项目models/M02/，主文件名M02.ipt；另保存一张能看清主要结构的等轴测预览M02.png。</x:v>
      </x:c>
      <x:c r="D3" s="16" t="b">
        <x:v>0</x:v>
      </x:c>
    </x:row>
    <x:row r="4" ht="102" customHeight="1">
      <x:c r="A4" s="12" t="str">
        <x:v>M03</x:v>
      </x:c>
      <x:c r="B4" s="12" t="str">
        <x:v>双长圆槽板</x:v>
      </x:c>
      <x:c r="C4" s="12" t="str">
        <x:v>单位均为mm。建立100×60×8的矩形板，XY中心为原点、底面Z=0。开两条Z向贯穿长圆槽，槽中心分别为(0,−15)、(0,15)，长轴沿X，总长40、宽10；两端半圆半径5。使用Autodesk Inventor完成。保存为可编辑原生零件文件，路径为当前项目models/M03/，主文件名M03.ipt；另保存一张能看清主要结构的等轴测预览M03.png。</x:v>
      </x:c>
      <x:c r="D4" s="16" t="b">
        <x:v>0</x:v>
      </x:c>
    </x:row>
    <x:row r="5" ht="102" customHeight="1">
      <x:c r="A5" s="12" t="str">
        <x:v>M04</x:v>
      </x:c>
      <x:c r="B5" s="12" t="str">
        <x:v>带沉孔连接板</x:v>
      </x:c>
      <x:c r="C5" s="12" t="str">
        <x:v>单位均为mm。建立90×60×12的矩形板，XY中心为原点、底面Z=0。在(−25,0)、(25,0)各开直径8通孔；从顶面向下做同轴直径14、深5的平底沉孔。沉孔不得贯穿板厚。使用Autodesk Inventor完成。保存为可编辑原生零件文件，路径为当前项目models/M04/，主文件名M04.ipt；另保存一张能看清主要结构的等轴测预览M04.png。</x:v>
      </x:c>
      <x:c r="D5" s="16" t="b">
        <x:v>0</x:v>
      </x:c>
    </x:row>
    <x:row r="6" ht="102" customHeight="1">
      <x:c r="A6" s="12" t="str">
        <x:v>M05</x:v>
      </x:c>
      <x:c r="B6" s="12" t="str">
        <x:v>锥形沉头孔板</x:v>
      </x:c>
      <x:c r="C6" s="12" t="str">
        <x:v>单位均为mm。建立80×60×8的矩形板，XY中心为原点、底面Z=0。在(−20,0)、(20,0)各开直径6通孔。顶面入口作90°夹角的锥形沉头，入口直径12，锥面与通孔相接。使用Autodesk Inventor完成。保存为可编辑原生零件文件，路径为当前项目models/M05/，主文件名M05.ipt；另保存一张能看清主要结构的等轴测预览M05.png。</x:v>
      </x:c>
      <x:c r="D6" s="16" t="b">
        <x:v>0</x:v>
      </x:c>
    </x:row>
    <x:row r="7" ht="102" customHeight="1">
      <x:c r="A7" s="12" t="str">
        <x:v>M06</x:v>
      </x:c>
      <x:c r="B7" s="12" t="str">
        <x:v>圆角薄板</x:v>
      </x:c>
      <x:c r="C7" s="12" t="str">
        <x:v>单位均为mm。建立100×60、厚6的板，XY中心为原点、底面Z=0，俯视四角圆角半径10，顶底边缘不再倒圆。在(−30,0)、(30,0)各开直径10的Z向通孔。使用Autodesk Inventor完成。保存为可编辑原生零件文件，路径为当前项目models/M06/，主文件名M06.ipt；另保存一张能看清主要结构的等轴测预览M06.png。</x:v>
      </x:c>
      <x:c r="D7" s="16" t="b">
        <x:v>0</x:v>
      </x:c>
    </x:row>
    <x:row r="8" ht="102" customHeight="1">
      <x:c r="A8" s="12" t="str">
        <x:v>M07</x:v>
      </x:c>
      <x:c r="B8" s="12" t="str">
        <x:v>阶梯垫块</x:v>
      </x:c>
      <x:c r="C8" s="12" t="str">
        <x:v>单位均为mm。底座范围X=−40至40、Y=−25至25、Z=0至10。其顶面居中增加50×30×12的矩形凸台，凸台顶面Z=22。两部分合并为单个连续实体，不加孔或倒角。使用Autodesk Inventor完成。保存为可编辑原生零件文件，路径为当前项目models/M07/，主文件名M07.ipt；另保存一张能看清主要结构的等轴测预览M07.png。</x:v>
      </x:c>
      <x:c r="D8" s="16" t="b">
        <x:v>0</x:v>
      </x:c>
    </x:row>
    <x:row r="9" ht="102" customHeight="1">
      <x:c r="A9" s="12" t="str">
        <x:v>M08</x:v>
      </x:c>
      <x:c r="B9" s="12" t="str">
        <x:v>平底矩形凹槽板</x:v>
      </x:c>
      <x:c r="C9" s="12" t="str">
        <x:v>单位均为mm。建立100×70×16的实心矩形板，XY中心为原点、底面Z=0。从顶面居中切出60×30、深8的矩形凹槽，槽底Z=8、四角保持直角；凹槽不得贯穿底面。使用Autodesk Inventor完成。保存为可编辑原生零件文件，路径为当前项目models/M08/，主文件名M08.ipt；另保存一张能看清主要结构的等轴测预览M08.png。</x:v>
      </x:c>
      <x:c r="D9" s="16" t="b">
        <x:v>0</x:v>
      </x:c>
    </x:row>
    <x:row r="10" ht="102" customHeight="1">
      <x:c r="A10" s="12" t="str">
        <x:v>M09</x:v>
      </x:c>
      <x:c r="B10" s="12" t="str">
        <x:v>圆形四孔盘</x:v>
      </x:c>
      <x:c r="C10" s="12" t="str">
        <x:v>单位均为mm。建立直径90、厚10的圆盘，轴沿Z、底面Z=0。中心开直径20通孔；在半径30的分布圆上开四个直径8的通孔，首孔位于+X方向，其余按90°等分。使用Autodesk Inventor完成。保存为可编辑原生零件文件，路径为当前项目models/M09/，主文件名M09.ipt；另保存一张能看清主要结构的等轴测预览M09.png。</x:v>
      </x:c>
      <x:c r="D10" s="16" t="b">
        <x:v>0</x:v>
      </x:c>
    </x:row>
    <x:row r="11" ht="102" customHeight="1">
      <x:c r="A11" s="12" t="str">
        <x:v>M10</x:v>
      </x:c>
      <x:c r="B11" s="12" t="str">
        <x:v>T形平面连接板</x:v>
      </x:c>
      <x:c r="C11" s="12" t="str">
        <x:v>单位均为mm。在XY平面建立T形板：横梁X=−50至50、Y=10至30；竖梁X=−15至15、Y=−40至10。沿+Z统一拉伸8并合并为单体。在(−35,20)、(35,20)、(0,−25)开直径8通孔。使用Autodesk Inventor完成。保存为可编辑原生零件文件，路径为当前项目models/M10/，主文件名M10.ipt；另保存一张能看清主要结构的等轴测预览M10.png。</x:v>
      </x:c>
      <x:c r="D11" s="16" t="b">
        <x:v>0</x:v>
      </x:c>
    </x:row>
    <x:row r="12" ht="102" customHeight="1">
      <x:c r="A12" s="12" t="str">
        <x:v>M11</x:v>
      </x:c>
      <x:c r="B12" s="12" t="str">
        <x:v>两级圆柱轴</x:v>
      </x:c>
      <x:c r="C12" s="12" t="str">
        <x:v>单位均为mm。建立共轴两级轴，轴线为Z。下段直径24、Z=0至45；上段直径16、Z=45至70，两段合并。仅在Z=0及Z=70的外圆端缘作1×45°倒角，台阶边缘保持直角。使用Autodesk Inventor完成。保存为可编辑原生零件文件，路径为当前项目models/M11/，主文件名M11.ipt；另保存一张能看清主要结构的等轴测预览M11.png。</x:v>
      </x:c>
      <x:c r="D12" s="16" t="b">
        <x:v>0</x:v>
      </x:c>
    </x:row>
    <x:row r="13" ht="102" customHeight="1">
      <x:c r="A13" s="12" t="str">
        <x:v>M12</x:v>
      </x:c>
      <x:c r="B13" s="12" t="str">
        <x:v>三段阶梯轴</x:v>
      </x:c>
      <x:c r="C13" s="12" t="str">
        <x:v>单位均为mm。建立Z轴共轴阶梯轴：Z=0至20为直径30，Z=20至65为直径20，Z=65至90为直径14。各段连续合并，在两个外端面中心保留实心，不添加螺纹或孔。使用Autodesk Inventor完成。保存为可编辑原生零件文件，路径为当前项目models/M12/，主文件名M12.ipt；另保存一张能看清主要结构的等轴测预览M12.png。</x:v>
      </x:c>
      <x:c r="D13" s="16" t="b">
        <x:v>0</x:v>
      </x:c>
    </x:row>
    <x:row r="14" ht="102" customHeight="1">
      <x:c r="A14" s="12" t="str">
        <x:v>M13</x:v>
      </x:c>
      <x:c r="B14" s="12" t="str">
        <x:v>带轴向孔的轴</x:v>
      </x:c>
      <x:c r="C14" s="12" t="str">
        <x:v>单位均为mm。建立直径28、长70的圆柱轴，轴线Z、下端Z=0。沿Z开直径10的贯穿孔；Z=0端和Z=70端的外圆边缘分别作1×45°倒角，内孔口保持直角。使用Autodesk Inventor完成。保存为可编辑原生零件文件，路径为当前项目models/M13/，主文件名M13.ipt；另保存一张能看清主要结构的等轴测预览M13.png。</x:v>
      </x:c>
      <x:c r="D14" s="16" t="b">
        <x:v>0</x:v>
      </x:c>
    </x:row>
    <x:row r="15" ht="102" customHeight="1">
      <x:c r="A15" s="12" t="str">
        <x:v>M14</x:v>
      </x:c>
      <x:c r="B15" s="12" t="str">
        <x:v>法兰套筒</x:v>
      </x:c>
      <x:c r="C15" s="12" t="str">
        <x:v>单位均为mm。以Z为共同轴线建立法兰套筒：法兰外径60、Z=0至8；筒身外径32、Z=8至48；中心直径20孔贯穿。法兰上在半径23处开四个直径6通孔，首孔在+X，等分90°。使用Autodesk Inventor完成。保存为可编辑原生零件文件，路径为当前项目models/M14/，主文件名M14.ipt；另保存一张能看清主要结构的等轴测预览M14.png。</x:v>
      </x:c>
      <x:c r="D15" s="16" t="b">
        <x:v>0</x:v>
      </x:c>
    </x:row>
    <x:row r="16" ht="102" customHeight="1">
      <x:c r="A16" s="12" t="str">
        <x:v>M15</x:v>
      </x:c>
      <x:c r="B16" s="12" t="str">
        <x:v>带径向孔的套筒</x:v>
      </x:c>
      <x:c r="C16" s="12" t="str">
        <x:v>单位均为mm。建立外径40、内径24、长50的套筒，轴沿Z、范围Z=0至50。在高度Z=25处开直径8的径向孔，孔轴沿X并穿透两侧筒壁，其轴线通过套筒中心。使用Autodesk Inventor完成。保存为可编辑原生零件文件，路径为当前项目models/M15/，主文件名M15.ipt；另保存一张能看清主要结构的等轴测预览M15.png。</x:v>
      </x:c>
      <x:c r="D16" s="16" t="b">
        <x:v>0</x:v>
      </x:c>
    </x:row>
    <x:row r="17" ht="102" customHeight="1">
      <x:c r="A17" s="12" t="str">
        <x:v>M16</x:v>
      </x:c>
      <x:c r="B17" s="12" t="str">
        <x:v>环形槽定位轴</x:v>
      </x:c>
      <x:c r="C17" s="12" t="str">
        <x:v>单位均为mm。建立直径30、长80的实心轴，轴线Z、Z=0至80。在Z=25至31的区间加工整圈环形槽，槽底直径24；其余区间外径仍为30，槽的侧壁垂直轴线。使用Autodesk Inventor完成。保存为可编辑原生零件文件，路径为当前项目models/M16/，主文件名M16.ipt；另保存一张能看清主要结构的等轴测预览M16.png。</x:v>
      </x:c>
      <x:c r="D17" s="16" t="b">
        <x:v>0</x:v>
      </x:c>
    </x:row>
    <x:row r="18" ht="102" customHeight="1">
      <x:c r="A18" s="12" t="str">
        <x:v>M17</x:v>
      </x:c>
      <x:c r="B18" s="12" t="str">
        <x:v>外圆带键槽轴</x:v>
      </x:c>
      <x:c r="C18" s="12" t="str">
        <x:v>单位均为mm。建立直径30、长80的实心轴，轴线为Z，轴端面为Z=0和Z=80。由+Y侧切矩形键槽：X=−4至4、Z=20至60，槽底平面Y=11，向+Y切至轴外。槽宽8，长40，不做圆端。使用Autodesk Inventor完成。保存为可编辑原生零件文件，路径为当前项目models/M17/，主文件名M17.ipt；另保存一张能看清主要结构的等轴测预览M17.png。</x:v>
      </x:c>
      <x:c r="D18" s="16" t="b">
        <x:v>0</x:v>
      </x:c>
    </x:row>
    <x:row r="19" ht="102" customHeight="1">
      <x:c r="A19" s="12" t="str">
        <x:v>M18</x:v>
      </x:c>
      <x:c r="B19" s="12" t="str">
        <x:v>圆锥过渡轴</x:v>
      </x:c>
      <x:c r="C19" s="12" t="str">
        <x:v>单位均为mm。建立沿Z的回转实体：Z=0至20为直径40圆柱，Z=20至50从直径40线性减小到直径20，Z=50至70为直径20圆柱。三段连续，不加孔及圆角。使用Autodesk Inventor完成。保存为可编辑原生零件文件，路径为当前项目models/M18/，主文件名M18.ipt；另保存一张能看清主要结构的等轴测预览M18.png。</x:v>
      </x:c>
      <x:c r="D19" s="16" t="b">
        <x:v>0</x:v>
      </x:c>
    </x:row>
    <x:row r="20" ht="102" customHeight="1">
      <x:c r="A20" s="12" t="str">
        <x:v>M19</x:v>
      </x:c>
      <x:c r="B20" s="12" t="str">
        <x:v>简化双挡边滚轮</x:v>
      </x:c>
      <x:c r="C20" s="12" t="str">
        <x:v>单位均为mm。建立Z轴滚轮，中心直径12孔贯穿。Z=0至5与Z=35至40两段外径60；Z=5至35中段外径44。各段合并为一个实体，挡边与中段交界保持直角。使用Autodesk Inventor完成。保存为可编辑原生零件文件，路径为当前项目models/M19/，主文件名M19.ipt；另保存一张能看清主要结构的等轴测预览M19.png。</x:v>
      </x:c>
      <x:c r="D20" s="16" t="b">
        <x:v>0</x:v>
      </x:c>
    </x:row>
    <x:row r="21" ht="102" customHeight="1">
      <x:c r="A21" s="12" t="str">
        <x:v>M20</x:v>
      </x:c>
      <x:c r="B21" s="12" t="str">
        <x:v>环形垫片与定位凸缘</x:v>
      </x:c>
      <x:c r="C21" s="12" t="str">
        <x:v>单位均为mm。建立底部外径70、内径30、厚6的圆环，轴为Z、底面Z=0。在其顶面增加同轴外径46、内径30、高8的环形凸缘，最终顶面Z=14；两者合并为单体。使用Autodesk Inventor完成。保存为可编辑原生零件文件，路径为当前项目models/M20/，主文件名M20.ipt；另保存一张能看清主要结构的等轴测预览M20.png。</x:v>
      </x:c>
      <x:c r="D21" s="16" t="b">
        <x:v>0</x:v>
      </x:c>
    </x:row>
    <x:row r="22" ht="102" customHeight="1">
      <x:c r="A22" s="12" t="str">
        <x:v>M21</x:v>
      </x:c>
      <x:c r="B22" s="12" t="str">
        <x:v>直角安装支架</x:v>
      </x:c>
      <x:c r="C22" s="12" t="str">
        <x:v>单位均为mm。建立单体L支架：底板X=−40至40、Y=−30至30、Z=0至8；立板X=−40至40、Y=22至30、Z=8至60。底板在(±25,−10)开直径8的Z向孔；立板在X=±25、Z=40开直径8的Y向贯穿孔。使用Autodesk Inventor完成。保存为可编辑原生零件文件，路径为当前项目models/M21/，主文件名M21.ipt；另保存一张能看清主要结构的等轴测预览M21.png。</x:v>
      </x:c>
      <x:c r="D22" s="16" t="b">
        <x:v>0</x:v>
      </x:c>
    </x:row>
    <x:row r="23" ht="102" customHeight="1">
      <x:c r="A23" s="12" t="str">
        <x:v>M22</x:v>
      </x:c>
      <x:c r="B23" s="12" t="str">
        <x:v>U形槽支架</x:v>
      </x:c>
      <x:c r="C23" s="12" t="str">
        <x:v>单位均为mm。建立U形单体：底板X=−40至40、Y=−30至30、Z=0至8；两侧壁分别X=−40至−32和X=32至40，Y=−30至30、Z=8至48。两壁在Y=0、Z=30开同轴直径12的X向孔。使用Autodesk Inventor完成。保存为可编辑原生零件文件，路径为当前项目models/M22/，主文件名M22.ipt；另保存一张能看清主要结构的等轴测预览M22.png。</x:v>
      </x:c>
      <x:c r="D23" s="16" t="b">
        <x:v>0</x:v>
      </x:c>
    </x:row>
    <x:row r="24" ht="102" customHeight="1">
      <x:c r="A24" s="12" t="str">
        <x:v>M23</x:v>
      </x:c>
      <x:c r="B24" s="12" t="str">
        <x:v>带三角筋L支架</x:v>
      </x:c>
      <x:c r="C24" s="12" t="str">
        <x:v>单位均为mm。底板X=−40至40、Y=−30至30、Z=0至8；立板X=−40至40、Y=22至30、Z=8至58。加一块中心加强筋，厚度X=−4至4，其YZ截面顶点为(−15,8)、(22,8)、(22,48)，与两板合并。使用Autodesk Inventor完成。保存为可编辑原生零件文件，路径为当前项目models/M23/，主文件名M23.ipt；另保存一张能看清主要结构的等轴测预览M23.png。</x:v>
      </x:c>
      <x:c r="D24" s="16" t="b">
        <x:v>0</x:v>
      </x:c>
    </x:row>
    <x:row r="25" ht="102" customHeight="1">
      <x:c r="A25" s="12" t="str">
        <x:v>M24</x:v>
      </x:c>
      <x:c r="B25" s="12" t="str">
        <x:v>开口小托盘</x:v>
      </x:c>
      <x:c r="C25" s="12" t="str">
        <x:v>单位均为mm。建立外尺寸100×70×30的小托盘，XY中心原点、底面Z=0。顶部完全敞开，底厚4、四侧壁厚4；内腔范围X=−46至46、Y=−31至31、Z=4至30，内外角均为直角。使用Autodesk Inventor完成。保存为可编辑原生零件文件，路径为当前项目models/M24/，主文件名M24.ipt；另保存一张能看清主要结构的等轴测预览M24.png。</x:v>
      </x:c>
      <x:c r="D25" s="16" t="b">
        <x:v>0</x:v>
      </x:c>
    </x:row>
    <x:row r="26" ht="102" customHeight="1">
      <x:c r="A26" s="12" t="str">
        <x:v>M25</x:v>
      </x:c>
      <x:c r="B26" s="12" t="str">
        <x:v>双窗口立板支座</x:v>
      </x:c>
      <x:c r="C26" s="12" t="str">
        <x:v>单位均为mm。底板为X=−50至50、Y=−25至25、Z=0至8。中央立板为X=−50至50、Y=−5至5、Z=8至68。立板沿Y切两个矩形窗口：X分别为−38至−8及8至38，Z均为24至54。使用Autodesk Inventor完成。保存为可编辑原生零件文件，路径为当前项目models/M25/，主文件名M25.ipt；另保存一张能看清主要结构的等轴测预览M25.png。</x:v>
      </x:c>
      <x:c r="D26" s="16" t="b">
        <x:v>0</x:v>
      </x:c>
    </x:row>
    <x:row r="27" ht="102" customHeight="1">
      <x:c r="A27" s="12" t="str">
        <x:v>M26</x:v>
      </x:c>
      <x:c r="B27" s="12" t="str">
        <x:v>矩形法兰轴承座外壳</x:v>
      </x:c>
      <x:c r="C27" s="12" t="str">
        <x:v>单位均为mm。底座X=−50至50、Y=−30至30、Z=0至10；中心实体块X=−25至25、Y=−20至20、Z=10至60。沿Y开直径24通孔，轴线X=0、Z=35。底座在(±38,±18)开直径8的Z向通孔。使用Autodesk Inventor完成。保存为可编辑原生零件文件，路径为当前项目models/M26/，主文件名M26.ipt；另保存一张能看清主要结构的等轴测预览M26.png。</x:v>
      </x:c>
      <x:c r="D27" s="16" t="b">
        <x:v>0</x:v>
      </x:c>
    </x:row>
    <x:row r="28" ht="102" customHeight="1">
      <x:c r="A28" s="12" t="str">
        <x:v>M27</x:v>
      </x:c>
      <x:c r="B28" s="12" t="str">
        <x:v>单耳销连接支座</x:v>
      </x:c>
      <x:c r="C28" s="12" t="str">
        <x:v>单位均为mm。底板X=−35至35、Y=−25至25、Z=0至8。耳板位于Y=−5至5，其XZ轮廓为X=−18至18、Z=8至40的矩形，加以(0,40)为圆心、半径18的上半圆。耳板中心X=0、Z=40开直径12的Y向孔。使用Autodesk Inventor完成。保存为可编辑原生零件文件，路径为当前项目models/M27/，主文件名M27.ipt；另保存一张能看清主要结构的等轴测预览M27.png。</x:v>
      </x:c>
      <x:c r="D28" s="16" t="b">
        <x:v>0</x:v>
      </x:c>
    </x:row>
    <x:row r="29" ht="102" customHeight="1">
      <x:c r="A29" s="12" t="str">
        <x:v>M28</x:v>
      </x:c>
      <x:c r="B29" s="12" t="str">
        <x:v>双耳叉形支座</x:v>
      </x:c>
      <x:c r="C29" s="12" t="str">
        <x:v>单位均为mm。底板X=−40至40、Y=−30至30、Z=0至8。两耳板分别位于Y=−25至−17及17至25；每块XZ轮廓为X=−20至20、Z=8至40的矩形加顶部半径20上半圆。两耳在X=0、Z=40开同轴直径14的Y向孔。使用Autodesk Inventor完成。保存为可编辑原生零件文件，路径为当前项目models/M28/，主文件名M28.ipt；另保存一张能看清主要结构的等轴测预览M28.png。</x:v>
      </x:c>
      <x:c r="D29" s="16" t="b">
        <x:v>0</x:v>
      </x:c>
    </x:row>
    <x:row r="30" ht="102" customHeight="1">
      <x:c r="A30" s="12" t="str">
        <x:v>M29</x:v>
      </x:c>
      <x:c r="B30" s="12" t="str">
        <x:v>斜面楔形块</x:v>
      </x:c>
      <x:c r="C30" s="12" t="str">
        <x:v>单位均为mm。建立沿Y厚40的楔块，Y=−20至20。XZ截面依次为(−40,0)、(40,0)、(40,30)、(−40,10)，形成平底与连续斜顶面。在X=−20和20、Y=0处沿Z开直径8通孔。使用Autodesk Inventor完成。保存为可编辑原生零件文件，路径为当前项目models/M29/，主文件名M29.ipt；另保存一张能看清主要结构的等轴测预览M29.png。</x:v>
      </x:c>
      <x:c r="D30" s="16" t="b">
        <x:v>0</x:v>
      </x:c>
    </x:row>
    <x:row r="31" ht="102" customHeight="1">
      <x:c r="A31" s="12" t="str">
        <x:v>M30</x:v>
      </x:c>
      <x:c r="B31" s="12" t="str">
        <x:v>可调长槽角支架</x:v>
      </x:c>
      <x:c r="C31" s="12" t="str">
        <x:v>单位均为mm。底板X=−40至40、Y=−30至30、Z=0至8；立板X=−40至40、Y=22至30、Z=8至68。立板开两条Y向贯穿长圆槽，中心X=±22、Z=38，长轴沿Z，总长32、宽10。使用Autodesk Inventor完成。保存为可编辑原生零件文件，路径为当前项目models/M30/，主文件名M30.ipt；另保存一张能看清主要结构的等轴测预览M30.png。</x:v>
      </x:c>
      <x:c r="D31" s="16" t="b">
        <x:v>0</x:v>
      </x:c>
    </x:row>
    <x:row r="32" ht="102" customHeight="1">
      <x:c r="A32" s="12" t="str">
        <x:v>M31</x:v>
      </x:c>
      <x:c r="B32" s="12" t="str">
        <x:v>三乘四孔阵列板</x:v>
      </x:c>
      <x:c r="C32" s="12" t="str">
        <x:v>单位均为mm。建立120×90×8矩形板，XY中心为原点、底面Z=0。开12个直径8的Z向通孔：X坐标为−45、−15、15、45，Y坐标为−25、0、25，取全部组合；优先用可编辑矩形阵列表达孔系。使用Autodesk Inventor完成。保存为可编辑原生零件文件，路径为当前项目models/M31/，主文件名M31.ipt；另保存一张能看清主要结构的等轴测预览M31.png。</x:v>
      </x:c>
      <x:c r="D32" s="16" t="b">
        <x:v>0</x:v>
      </x:c>
    </x:row>
    <x:row r="33" ht="102" customHeight="1">
      <x:c r="A33" s="12" t="str">
        <x:v>M32</x:v>
      </x:c>
      <x:c r="B33" s="12" t="str">
        <x:v>八孔圆形法兰</x:v>
      </x:c>
      <x:c r="C33" s="12" t="str">
        <x:v>单位均为mm。建立外径120、厚12、中心孔直径36的圆法兰，轴为Z、底面Z=0。在半径44的分布圆上等分8个直径10通孔，首孔位于+X方向；用可编辑圆周阵列表达孔系。使用Autodesk Inventor完成。保存为可编辑原生零件文件，路径为当前项目models/M32/，主文件名M32.ipt；另保存一张能看清主要结构的等轴测预览M32.png。</x:v>
      </x:c>
      <x:c r="D33" s="16" t="b">
        <x:v>0</x:v>
      </x:c>
    </x:row>
    <x:row r="34" ht="102" customHeight="1">
      <x:c r="A34" s="12" t="str">
        <x:v>M33</x:v>
      </x:c>
      <x:c r="B34" s="12" t="str">
        <x:v>径向六槽转盘</x:v>
      </x:c>
      <x:c r="C34" s="12" t="str">
        <x:v>单位均为mm。建立外径120、厚10、中心孔直径20的圆盘，轴线为Z，XY圆心为原点。开6条径向长圆通槽，各槽中心半径38，长轴沿半径，总长24、宽8。首槽中心位于+X方向，其余绕Z每60°等分；圆盘底面Z=0。使用Autodesk Inventor完成。保存为可编辑原生零件文件，路径为当前项目models/M33/，主文件名M33.ipt；另保存一张能看清主要结构的等轴测预览M33.png。</x:v>
      </x:c>
      <x:c r="D34" s="16" t="b">
        <x:v>0</x:v>
      </x:c>
    </x:row>
    <x:row r="35" ht="102" customHeight="1">
      <x:c r="A35" s="12" t="str">
        <x:v>M34</x:v>
      </x:c>
      <x:c r="B35" s="12" t="str">
        <x:v>平行散热肋块</x:v>
      </x:c>
      <x:c r="C35" s="12" t="str">
        <x:v>单位均为mm。底座X=−50至50、Y=−30至30、Z=0至6。其上设9条平行肋，沿Y全长60，肋厚4、高24；肋的X中心依次为−40、−30、−20、−10、0、10、20、30、40。全部与底座合并。使用Autodesk Inventor完成。保存为可编辑原生零件文件，路径为当前项目models/M34/，主文件名M34.ipt；另保存一张能看清主要结构的等轴测预览M34.png。</x:v>
      </x:c>
      <x:c r="D35" s="16" t="b">
        <x:v>0</x:v>
      </x:c>
    </x:row>
    <x:row r="36" ht="102" customHeight="1">
      <x:c r="A36" s="12" t="str">
        <x:v>M35</x:v>
      </x:c>
      <x:c r="B36" s="12" t="str">
        <x:v>圆柱四侧径向孔</x:v>
      </x:c>
      <x:c r="C36" s="12" t="str">
        <x:v>单位均为mm。建立外径60、内径30、高40的圆筒，轴为Z、底面Z=0。在Z=20处，从外侧沿径向开4个直径8的孔并贯穿各自筒壁，角度为0°、90°、180°、270°，孔均与中心内腔连通。使用Autodesk Inventor完成。保存为可编辑原生零件文件，路径为当前项目models/M35/，主文件名M35.ipt；另保存一张能看清主要结构的等轴测预览M35.png。</x:v>
      </x:c>
      <x:c r="D36" s="16" t="b">
        <x:v>0</x:v>
      </x:c>
    </x:row>
    <x:row r="37" ht="102" customHeight="1">
      <x:c r="A37" s="12" t="str">
        <x:v>M36</x:v>
      </x:c>
      <x:c r="B37" s="12" t="str">
        <x:v>圆角口袋盖板</x:v>
      </x:c>
      <x:c r="C37" s="12" t="str">
        <x:v>单位均为mm。建立100×80×14的矩形板，XY中心原点、底面Z=0，四条竖直外角边倒圆R6。顶面开60×40、四角R5、深6的居中口袋，底面保留8厚；仅口袋平面轮廓圆角，不给槽底边追加圆角。使用Autodesk Inventor完成。保存为可编辑原生零件文件，路径为当前项目models/M36/，主文件名M36.ipt；另保存一张能看清主要结构的等轴测预览M36.png。</x:v>
      </x:c>
      <x:c r="D37" s="16" t="b">
        <x:v>0</x:v>
      </x:c>
    </x:row>
    <x:row r="38" ht="102" customHeight="1">
      <x:c r="A38" s="12" t="str">
        <x:v>M37</x:v>
      </x:c>
      <x:c r="B38" s="12" t="str">
        <x:v>倒角与圆角安装块</x:v>
      </x:c>
      <x:c r="C38" s="12" t="str">
        <x:v>单位均为mm。建立80×50×30矩形块，XY中心原点、底面Z=0。四条竖直外边倒圆R4；顶面外周与顶面相接的所有边统一倒角2×45°，底部边不倒角。中心开直径16的Z向通孔，孔口不倒角。使用Autodesk Inventor完成。保存为可编辑原生零件文件，路径为当前项目models/M37/，主文件名M37.ipt；另保存一张能看清主要结构的等轴测预览M37.png。</x:v>
      </x:c>
      <x:c r="D38" s="16" t="b">
        <x:v>0</x:v>
      </x:c>
    </x:row>
    <x:row r="39" ht="102" customHeight="1">
      <x:c r="A39" s="12" t="str">
        <x:v>M38</x:v>
      </x:c>
      <x:c r="B39" s="12" t="str">
        <x:v>带圆角筋板支架</x:v>
      </x:c>
      <x:c r="C39" s="12" t="str">
        <x:v>单位均为mm。底板X=−40至40、Y=−30至30、Z=0至8；立板X=−40至40、Y=22至30、Z=8至58。X=−4至4的中央三角筋YZ顶点为(−15,8)、(22,8)、(22,48)。合并后仅筋与底板的两条直线交界边作R2圆角。使用Autodesk Inventor完成。保存为可编辑原生零件文件，路径为当前项目models/M38/，主文件名M38.ipt；另保存一张能看清主要结构的等轴测预览M38.png。</x:v>
      </x:c>
      <x:c r="D39" s="16" t="b">
        <x:v>0</x:v>
      </x:c>
    </x:row>
    <x:row r="40" ht="102" customHeight="1">
      <x:c r="A40" s="12" t="str">
        <x:v>M39</x:v>
      </x:c>
      <x:c r="B40" s="12" t="str">
        <x:v>对称双凸台板</x:v>
      </x:c>
      <x:c r="C40" s="12" t="str">
        <x:v>单位均为mm。建立120×60×8底板，XY中心原点、底面Z=0。在X=−35和35、Y=0各加直径30、高20的圆柱凸台；每个凸台中心开直径12贯穿孔，穿过凸台及底板。两凸台关于YZ平面对称，优先用镜像表达。使用Autodesk Inventor完成。保存为可编辑原生零件文件，路径为当前项目models/M39/，主文件名M39.ipt；另保存一张能看清主要结构的等轴测预览M39.png。</x:v>
      </x:c>
      <x:c r="D40" s="16" t="b">
        <x:v>0</x:v>
      </x:c>
    </x:row>
    <x:row r="41" ht="102" customHeight="1">
      <x:c r="A41" s="12" t="str">
        <x:v>M40</x:v>
      </x:c>
      <x:c r="B41" s="12" t="str">
        <x:v>十字交叉加强板</x:v>
      </x:c>
      <x:c r="C41" s="12" t="str">
        <x:v>单位均为mm。底板100×100×6，XY中心原点、底面Z=0。顶面增加两条居中的十字肋：一条沿X长80、宽6，另一条沿Y长80、宽6，均从Z=6至24并合并。底板四孔位于(±35,±35)，孔径8、沿Z贯穿。使用Autodesk Inventor完成。保存为可编辑原生零件文件，路径为当前项目models/M40/，主文件名M40.ipt；另保存一张能看清主要结构的等轴测预览M40.png。</x:v>
      </x:c>
      <x:c r="D41" s="16" t="b">
        <x:v>0</x:v>
      </x:c>
    </x:row>
    <x:row r="42" ht="102" customHeight="1">
      <x:c r="A42" s="12" t="str">
        <x:v>M41</x:v>
      </x:c>
      <x:c r="B42" s="12" t="str">
        <x:v>矩形到圆形过渡体</x:v>
      </x:c>
      <x:c r="C42" s="12" t="str">
        <x:v>单位均为mm。创建连续实体：Z=0截面为居中60×40的矩形；Z=50截面为直径30的圆。两截面中心同在Z轴，矩形边分别平行X和Y；用单个实体放样连接，不掏空，不增加中间截面或旋转。使用Autodesk Inventor完成。保存为可编辑原生零件文件，路径为当前项目models/M41/，主文件名M41.ipt；另保存一张能看清主要结构的等轴测预览M41.png。</x:v>
      </x:c>
      <x:c r="D42" s="16" t="b">
        <x:v>1</x:v>
      </x:c>
    </x:row>
    <x:row r="43" ht="102" customHeight="1">
      <x:c r="A43" s="12" t="str">
        <x:v>M42</x:v>
      </x:c>
      <x:c r="B43" s="12" t="str">
        <x:v>截锥空心过渡套</x:v>
      </x:c>
      <x:c r="C43" s="12" t="str">
        <x:v>单位均为mm。建立共轴空心截锥，轴为Z，高50。底端Z=0外径60、内径50；顶端Z=50外径40、内径30，内外母线分别直线连接对应端点。两端敞开，采用回转轮廓形成连续实体。使用Autodesk Inventor完成。保存为可编辑原生零件文件，路径为当前项目models/M42/，主文件名M42.ipt；另保存一张能看清主要结构的等轴测预览M42.png。</x:v>
      </x:c>
      <x:c r="D43" s="16" t="b">
        <x:v>0</x:v>
      </x:c>
    </x:row>
    <x:row r="44" ht="102" customHeight="1">
      <x:c r="A44" s="12" t="str">
        <x:v>M43</x:v>
      </x:c>
      <x:c r="B44" s="12" t="str">
        <x:v>L形圆管弯头</x:v>
      </x:c>
      <x:c r="C44" s="12" t="str">
        <x:v>单位均为mm。创建外径16、内径10的中空圆管，中心路径位于XZ平面：从(−40,0,0)沿+X到(0,0,0)，接以(0,0,25)为圆心、半径25的90°圆弧到(25,0,25)，再沿+Z到(25,0,65)。两端敞开。使用Autodesk Inventor完成。保存为可编辑原生零件文件，路径为当前项目models/M43/，主文件名M43.ipt；另保存一张能看清主要结构的等轴测预览M43.png。</x:v>
      </x:c>
      <x:c r="D44" s="16" t="b">
        <x:v>0</x:v>
      </x:c>
    </x:row>
    <x:row r="45" ht="102" customHeight="1">
      <x:c r="A45" s="12" t="str">
        <x:v>M44</x:v>
      </x:c>
      <x:c r="B45" s="12" t="str">
        <x:v>带六角头的简化定位销</x:v>
      </x:c>
      <x:c r="C45" s="12" t="str">
        <x:v>单位均为mm。沿Z建立定位销：Z=0至50为直径16的圆柱杆；Z=50至60为正六棱柱头部，对边24，六角形一组对边平行X方向。杆底外缘作1×45°倒角，不添加螺纹，不把杆和头拆成零件。使用Autodesk Inventor完成。保存为可编辑原生零件文件，路径为当前项目models/M44/，主文件名M44.ipt；另保存一张能看清主要结构的等轴测预览M44.png。</x:v>
      </x:c>
      <x:c r="D45" s="16" t="b">
        <x:v>0</x:v>
      </x:c>
    </x:row>
    <x:row r="46" ht="102" customHeight="1">
      <x:c r="A46" s="12" t="str">
        <x:v>M45</x:v>
      </x:c>
      <x:c r="B46" s="12" t="str">
        <x:v>带侧槽的双层定位块</x:v>
      </x:c>
      <x:c r="C46" s="12" t="str">
        <x:v>单位均为mm。底块X=−45至45、Y=−30至30、Z=0至12；上凸台X=−25至25、Y=−20至20、Z=12至42。沿X从凸台两端贯穿切出矩形通槽，截面Y=−6至6、Z=22至30；底块在(±35,±20)开直径6的Z向孔。使用Autodesk Inventor完成。保存为可编辑原生零件文件，路径为当前项目models/M45/，主文件名M45.ipt；另保存一张能看清主要结构的等轴测预览M45.png。</x:v>
      </x:c>
      <x:c r="D46" s="16" t="b">
        <x:v>0</x:v>
      </x:c>
    </x:row>
    <x:row r="47" ht="102" customHeight="1">
      <x:c r="A47" s="12" t="str">
        <x:v>M46</x:v>
      </x:c>
      <x:c r="B47" s="12" t="str">
        <x:v>轴与间隙套筒装配</x:v>
      </x:c>
      <x:c r="C47" s="12" t="str">
        <x:v>单位均为mm。建两个独立零件并装配：轴直径20、长60；套筒外径36、内径20.4、长30。装配中两者轴线同为Z，轴占Z=0至60，套筒占Z=15至45。固定轴，用同轴及端面偏置约束定位套筒，保留0.2径向间隙。使用Autodesk Inventor完成。保存为可编辑原生装配文件及全部零件，路径为当前项目models/M46/，主文件名M46.iam；另保存一张能看清主要结构的等轴测预览M46.png。</x:v>
      </x:c>
      <x:c r="D47" s="16" t="b">
        <x:v>0</x:v>
      </x:c>
    </x:row>
    <x:row r="48" ht="102" customHeight="1">
      <x:c r="A48" s="12" t="str">
        <x:v>M47</x:v>
      </x:c>
      <x:c r="B48" s="12" t="str">
        <x:v>底座与双定位销装配</x:v>
      </x:c>
      <x:c r="C48" s="12" t="str">
        <x:v>单位均为mm。底座80×50×10，XY中心原点、底面Z=0，在(±25,0)开直径10.2通孔。另建直径10、长25的销并放置两件，轴均沿Z、下端Z=0。固定底座，用同轴和底面齐平约束定位销，三个实例保持为独立零件。使用Autodesk Inventor完成。保存为可编辑原生装配文件及全部零件，路径为当前项目models/M47/，主文件名M47.iam；另保存一张能看清主要结构的等轴测预览M47.png。</x:v>
      </x:c>
      <x:c r="D48" s="16" t="b">
        <x:v>1</x:v>
      </x:c>
    </x:row>
    <x:row r="49" ht="102" customHeight="1">
      <x:c r="A49" s="12" t="str">
        <x:v>M48</x:v>
      </x:c>
      <x:c r="B49" s="12" t="str">
        <x:v>盖板与开口盒装配</x:v>
      </x:c>
      <x:c r="C49" s="12" t="str">
        <x:v>单位均为mm。盒体外尺寸80×60×30，XY中心原点、底面Z=0，壁厚和底厚均4、顶部敞开。盖板80×60×6，底面置于Z=30；盖下增加72×52×3的居中定位凸台，Z=27至30。盒内腔为72×52，按零间隙几何配合，分别建盒与盖并约束定位。使用Autodesk Inventor完成。保存为可编辑原生装配文件及全部零件，路径为当前项目models/M48/，主文件名M48.iam；另保存一张能看清主要结构的等轴测预览M48.png。</x:v>
      </x:c>
      <x:c r="D49" s="16" t="b">
        <x:v>0</x:v>
      </x:c>
    </x:row>
    <x:row r="50" ht="102" customHeight="1">
      <x:c r="A50" s="12" t="str">
        <x:v>M49</x:v>
      </x:c>
      <x:c r="B50" s="12" t="str">
        <x:v>法兰与轴的三零件装配</x:v>
      </x:c>
      <x:c r="C50" s="12" t="str">
        <x:v>单位均为mm。建立轴直径16、长80，轴线Z、下端Z=0；建立两件相同法兰，外径60、厚8、中心孔16.4。装配时法兰分别位于Z=10至18和Z=62至70，与轴同轴；固定轴并用约束确定两法兰位置，零件间保留径向间隙。使用Autodesk Inventor完成。保存为可编辑原生装配文件及全部零件，路径为当前项目models/M49/，主文件名M49.iam；另保存一张能看清主要结构的等轴测预览M49.png。</x:v>
      </x:c>
      <x:c r="D50" s="16" t="b">
        <x:v>0</x:v>
      </x:c>
    </x:row>
    <x:row r="51" ht="102" customHeight="1">
      <x:c r="A51" s="12" t="str">
        <x:v>M50</x:v>
      </x:c>
      <x:c r="B51" s="12" t="str">
        <x:v>双耳支座与销轴装配</x:v>
      </x:c>
      <x:c r="C51" s="12" t="str">
        <x:v>单位均为mm。支座底板80×60×8，XY中心原点、底面Z=0；两耳板X=−15至15、Z=8至48，Y分别为−25至−17和17至25；耳孔轴沿Y，中心X=0、Z=32，孔径12.4。另建直径12、长60销轴，装配在Y=−30至30；设同轴及轴向居中约束以保持两端位置，固定支座。使用Autodesk Inventor完成。保存为可编辑原生装配文件及全部零件，路径为当前项目models/M50/，主文件名M50.iam；另保存一张能看清主要结构的等轴测预览M50.png。</x:v>
      </x:c>
      <x:c r="D51" s="16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8523c1e1a64d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  <x:col min="3" max="3" width="74" hidden="0" customWidth="1"/>
  </x:cols>
  <x:sheetData>
    <x:row r="1" ht="32" customHeight="1">
      <x:c r="A1" s="5" t="str">
        <x:v>Field</x:v>
      </x:c>
      <x:c r="B1" s="5" t="str">
        <x:v>说明</x:v>
      </x:c>
      <x:c r="C1" s="5" t="str">
        <x:v>English</x:v>
      </x:c>
    </x:row>
    <x:row r="2" ht="42" customHeight="1">
      <x:c r="A2" s="12" t="str">
        <x:v>Measured scope</x:v>
      </x:c>
      <x:c r="B2" s="12" t="str">
        <x:v>仅 M01、M41、M47 三项原填测量，数值保持原记录。</x:v>
      </x:c>
      <x:c r="C2" s="12" t="str">
        <x:v>Only three originally filled observations are measurements.</x:v>
      </x:c>
    </x:row>
    <x:row r="3" ht="42" customHeight="1">
      <x:c r="A3" s="12" t="str">
        <x:v>Design scope</x:v>
      </x:c>
      <x:c r="B3" s="12" t="str">
        <x:v>50项任务均为研究设计；其余47项不提供人工随机补值。</x:v>
      </x:c>
      <x:c r="C3" s="12" t="str">
        <x:v>50 task descriptions are designs, not 50 completed experiments.</x:v>
      </x:c>
    </x:row>
    <x:row r="4" ht="42" customHeight="1">
      <x:c r="A4" s="12" t="str">
        <x:v>Excluded values</x:v>
      </x:c>
      <x:c r="B4" s="12" t="str">
        <x:v>原工作簿47条随机补齐行的提示次数与耗时均不进入本公开表。</x:v>
      </x:c>
      <x:c r="C4" s="12" t="str">
        <x:v>Artificial prompt/time fillers were excluded, not relabeled as measured.</x:v>
      </x:c>
    </x:row>
    <x:row r="5" ht="42" customHeight="1">
      <x:c r="A5" s="12" t="str">
        <x:v>Method</x:v>
      </x:c>
      <x:c r="B5" s="12" t="str">
        <x:v>配置组同时提供任务规则与InventorBridge接口；对照组不提供该组合。</x:v>
      </x:c>
      <x:c r="C5" s="12" t="str">
        <x:v>The comparison changes both task rules and tool availability.</x:v>
      </x:c>
    </x:row>
    <x:row r="6" ht="42" customHeight="1">
      <x:c r="A6" s="12" t="str">
        <x:v>Unit</x:v>
      </x:c>
      <x:c r="B6" s="12" t="str">
        <x:v>提示次数为人工消息数；耗时为分钟。模型内部工具调用不计人工提示次数。</x:v>
      </x:c>
      <x:c r="C6" s="12" t="str">
        <x:v>Prompt count means human messages; time is in minutes.</x:v>
      </x:c>
    </x:row>
    <x:row r="7" ht="42" customHeight="1">
      <x:c r="A7" s="12" t="str">
        <x:v>Interpretation</x:v>
      </x:c>
      <x:c r="B7" s="12" t="str">
        <x:v>三项记录为探索性工程比较，不是独立几何质量盲评或50项能力验证。</x:v>
      </x:c>
      <x:c r="C7" s="12" t="str">
        <x:v>Exploratory engineering observations, not a blinded quality benchmark.</x:v>
      </x:c>
    </x:row>
    <x:row r="8" ht="42" customHeight="1">
      <x:c r="A8" s="12" t="str">
        <x:v>Source</x:v>
      </x:c>
      <x:c r="B8" s="12" t="str">
        <x:v>tables/measured_records_3.csv；tables/task_design_50.csv。</x:v>
      </x:c>
      <x:c r="C8" s="12" t="str">
        <x:v>Public CSV copies contain the same measured values and task text.</x:v>
      </x:c>
    </x:row>
    <x:row r="9" ht="42" customHeight="1">
      <x:c r="A9" s="12" t="str">
        <x:v>Model artifacts</x:v>
      </x:c>
      <x:c r="B9" s="12" t="str">
        <x:v>三张自制模型PNG另存model_previews；原生CAD需元数据审查。</x:v>
      </x:c>
      <x:c r="C9" s="12" t="str">
        <x:v>Three author-created model previews are supplied separately.</x:v>
      </x:c>
    </x:row>
    <x:row r="10" ht="42" customHeight="1">
      <x:c r="A10" s="12" t="str">
        <x:v>License</x:v>
      </x:c>
      <x:c r="B10" s="12" t="str">
        <x:v>数据与自制预览按仓库CC BY 4.0许可。现有软件另循其许可证。</x:v>
      </x:c>
      <x:c r="C10" s="12" t="str">
        <x:v>Data and original previews: CC BY 4.0. Software has separate licenses.</x:v>
      </x:c>
    </x:row>
    <x:row r="11" ht="42" customHeight="1">
      <x:c r="A11" s="12" t="str">
        <x:v>Implementation</x:v>
      </x:c>
      <x:c r="B11" s="12" t="str">
        <x:v>新碰撞优化代码未随数据发布。</x:v>
      </x:c>
      <x:c r="C11" s="12" t="str">
        <x:v>New collision-optimization implementation is not included.</x:v>
      </x:c>
    </x:row>
  </x:sheetData>
  <x:pageMargins left="0.7" right="0.7" top="0.75" bottom="0.75" header="0.3" footer="0.3"/>
</x:worksheet>
</file>