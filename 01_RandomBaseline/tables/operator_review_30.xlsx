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/>
  </mc:AlternateContent>
  <xr:revisionPtr revIDLastSave="0" documentId="13_ncr:1_{3D9E15D5-5400-4AA1-9671-2153B2CCBD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0组排查" sheetId="1" r:id="rId1"/>
  </sheets>
  <calcPr calcId="191029"/>
</workbook>
</file>

<file path=xl/calcChain.xml><?xml version="1.0" encoding="utf-8"?>
<calcChain xmlns="http://schemas.openxmlformats.org/spreadsheetml/2006/main">
  <c r="J7" i="1" l="1"/>
  <c r="H7" i="1"/>
  <c r="F7" i="1"/>
  <c r="D7" i="1"/>
</calcChain>
</file>

<file path=xl/sharedStrings.xml><?xml version="1.0" encoding="utf-8"?>
<sst xmlns="http://schemas.openxmlformats.org/spreadsheetml/2006/main" count="261" uniqueCount="120">
  <si>
    <t>30组优化失败候选抽样排查表</t>
  </si>
  <si>
    <t>黄色区域填写失败候选的实测结果和问题说明。</t>
  </si>
  <si>
    <t>原始包保留。新包11组有改动、19组关节未变；30组离线复验均未通过。</t>
  </si>
  <si>
    <t>G列对应“筛选数据包_30组优化失败候选JSON”，J列对应原“筛选数据包_30组JSON”。</t>
  </si>
  <si>
    <t>样本数</t>
  </si>
  <si>
    <t>已填结论</t>
  </si>
  <si>
    <t>未填结论</t>
  </si>
  <si>
    <t>有改动</t>
  </si>
  <si>
    <t>关节未改变</t>
  </si>
  <si>
    <t>序号</t>
  </si>
  <si>
    <t>case_id</t>
  </si>
  <si>
    <t>对应修正档 (°)</t>
  </si>
  <si>
    <t>抽样层</t>
  </si>
  <si>
    <t>总关节变化量 (°)</t>
  </si>
  <si>
    <t>失败候选离线复验</t>
  </si>
  <si>
    <t>失败候选JSON</t>
  </si>
  <si>
    <t>失败候选实测结果</t>
  </si>
  <si>
    <t>主要问题或后续处理</t>
  </si>
  <si>
    <t>原始JSON</t>
  </si>
  <si>
    <t>候选改动步数</t>
  </si>
  <si>
    <t>关节路径是否改变</t>
  </si>
  <si>
    <t>未找到修正的步骤</t>
  </si>
  <si>
    <t>未通过</t>
  </si>
  <si>
    <t>0878.json</t>
  </si>
  <si>
    <t>未改变</t>
  </si>
  <si>
    <t>1;2;3;4;5;6;7;8;9;10</t>
  </si>
  <si>
    <t>0783</t>
  </si>
  <si>
    <t>0783.json</t>
  </si>
  <si>
    <t>0225</t>
  </si>
  <si>
    <t>0225.json</t>
  </si>
  <si>
    <t>已改变</t>
  </si>
  <si>
    <t>2;3;4;7;8;9;10</t>
  </si>
  <si>
    <t>0590</t>
  </si>
  <si>
    <t>0590.json</t>
  </si>
  <si>
    <t>2;3;4;5;6;7;8;9;10</t>
  </si>
  <si>
    <t>0626</t>
  </si>
  <si>
    <t>0626.json</t>
  </si>
  <si>
    <t>2;3;4;5;6;7;9;10</t>
  </si>
  <si>
    <t>0234</t>
  </si>
  <si>
    <t>0234.json</t>
  </si>
  <si>
    <t>0439</t>
  </si>
  <si>
    <t>0439.json</t>
  </si>
  <si>
    <t>0791</t>
  </si>
  <si>
    <t>0791.json</t>
  </si>
  <si>
    <t>0224</t>
  </si>
  <si>
    <t>0224.json</t>
  </si>
  <si>
    <t>4;5;6;7;8;9;10</t>
  </si>
  <si>
    <t>0598</t>
  </si>
  <si>
    <t>0598.json</t>
  </si>
  <si>
    <t>3;4;5;6;7;8;9;10</t>
  </si>
  <si>
    <t>0782</t>
  </si>
  <si>
    <t>0782.json</t>
  </si>
  <si>
    <t>0510</t>
  </si>
  <si>
    <t>0510.json</t>
  </si>
  <si>
    <t>0305</t>
  </si>
  <si>
    <t>0305.json</t>
  </si>
  <si>
    <t>0283</t>
  </si>
  <si>
    <t>0283.json</t>
  </si>
  <si>
    <t>0346</t>
  </si>
  <si>
    <t>0346.json</t>
  </si>
  <si>
    <t>0278</t>
  </si>
  <si>
    <t>0278.json</t>
  </si>
  <si>
    <t>0546</t>
  </si>
  <si>
    <t>0546.json</t>
  </si>
  <si>
    <t>0074</t>
  </si>
  <si>
    <t>0074.json</t>
  </si>
  <si>
    <t>0658</t>
  </si>
  <si>
    <t>0658.json</t>
  </si>
  <si>
    <t>0735</t>
  </si>
  <si>
    <t>0735.json</t>
  </si>
  <si>
    <t>0617</t>
  </si>
  <si>
    <t>0617.json</t>
  </si>
  <si>
    <t>0299</t>
  </si>
  <si>
    <t>0299.json</t>
  </si>
  <si>
    <t>0855</t>
  </si>
  <si>
    <t>0855.json</t>
  </si>
  <si>
    <t>0881</t>
  </si>
  <si>
    <t>0881.json</t>
  </si>
  <si>
    <t>0854</t>
  </si>
  <si>
    <t>0854.json</t>
  </si>
  <si>
    <t>0989</t>
  </si>
  <si>
    <t>0989.json</t>
  </si>
  <si>
    <t>0715</t>
  </si>
  <si>
    <t>0715.json</t>
  </si>
  <si>
    <t>0222</t>
  </si>
  <si>
    <t>0222.json</t>
  </si>
  <si>
    <t>0907</t>
  </si>
  <si>
    <t>0907.json</t>
  </si>
  <si>
    <t>0673</t>
  </si>
  <si>
    <t>0673.json</t>
  </si>
  <si>
    <t>未通过</t>
    <phoneticPr fontId="6" type="noConversion"/>
  </si>
  <si>
    <t>未通过(手动矫正通过)</t>
    <phoneticPr fontId="6" type="noConversion"/>
  </si>
  <si>
    <t>该角度在仿真图中2关节修正上线大于90度，手动矫正后仿真数据通过，但是与原来随机动作差距较大，见“测试结果与说明\0878”下手动通过数据，且真实未通过（当前真机关节姿态未通过已确认碰撞区：J6超出±175°）</t>
    <phoneticPr fontId="6" type="noConversion"/>
  </si>
  <si>
    <t>未通过(手动矫未通过)</t>
    <phoneticPr fontId="6" type="noConversion"/>
  </si>
  <si>
    <t>关节扭矩不合理。</t>
    <phoneticPr fontId="6" type="noConversion"/>
  </si>
  <si>
    <t>动作关节8扭矩不合理，穿模。</t>
    <phoneticPr fontId="6" type="noConversion"/>
  </si>
  <si>
    <t>动作关节4转动角度大于300度，及其不合理，穿模，无矫正意义</t>
    <phoneticPr fontId="6" type="noConversion"/>
  </si>
  <si>
    <t>10个动作的连贯性可以，但是多出关节旋转大于175度，去除碰撞区尝试自动矫正，关节二严重穿模过不去</t>
    <phoneticPr fontId="6" type="noConversion"/>
  </si>
  <si>
    <t>9个动作全部穿模，属于坏数据</t>
    <phoneticPr fontId="6" type="noConversion"/>
  </si>
  <si>
    <t>1动作关节杂糅，能矫正，但真实情况不会出现</t>
    <phoneticPr fontId="6" type="noConversion"/>
  </si>
  <si>
    <t>5动作和6动作的跨度太大，且6动作穿模，手动矫正仿真通过，但是实机未通过。（删除不合理数据7，8，9，10动作，实机通过）</t>
    <phoneticPr fontId="6" type="noConversion"/>
  </si>
  <si>
    <t>4动作穿模</t>
    <phoneticPr fontId="6" type="noConversion"/>
  </si>
  <si>
    <t>1动作穿模</t>
    <phoneticPr fontId="6" type="noConversion"/>
  </si>
  <si>
    <t>动作穿模，已经处理过类似的</t>
    <phoneticPr fontId="6" type="noConversion"/>
  </si>
  <si>
    <t>清理穿模动作2等，但是每个动作不连贯，导致执行动作的过程中碰到规定的默认碰撞区。</t>
    <phoneticPr fontId="6" type="noConversion"/>
  </si>
  <si>
    <t>动作2，3，5，10不合理，穿模机械臂</t>
    <phoneticPr fontId="6" type="noConversion"/>
  </si>
  <si>
    <t>1，4，5，8，9动作不合理，穿模</t>
    <phoneticPr fontId="6" type="noConversion"/>
  </si>
  <si>
    <t>1，3，9，10动作不合理，穿模</t>
    <phoneticPr fontId="6" type="noConversion"/>
  </si>
  <si>
    <t>5，7，9，10动作不合理，穿模</t>
    <phoneticPr fontId="6" type="noConversion"/>
  </si>
  <si>
    <t>1，5，7，9动作不合理</t>
    <phoneticPr fontId="6" type="noConversion"/>
  </si>
  <si>
    <t>2不合理</t>
    <phoneticPr fontId="6" type="noConversion"/>
  </si>
  <si>
    <t>动作大致合理，方法同0878，但是关键幅度大，仿真路径过不了，需要改进算法</t>
    <phoneticPr fontId="6" type="noConversion"/>
  </si>
  <si>
    <t>动作10不合理，穿模</t>
    <phoneticPr fontId="6" type="noConversion"/>
  </si>
  <si>
    <t>动作3不合理，穿模</t>
  </si>
  <si>
    <t>动作3不合理，穿模</t>
    <phoneticPr fontId="6" type="noConversion"/>
  </si>
  <si>
    <t>动作2不合理，穿模</t>
  </si>
  <si>
    <t>动作2不合理，穿模</t>
    <phoneticPr fontId="6" type="noConversion"/>
  </si>
  <si>
    <t>动作1不合理，穿模</t>
    <phoneticPr fontId="6" type="noConversion"/>
  </si>
  <si>
    <t>6;7;8;9;10</t>
    <phoneticPr fontId="6" type="noConversion"/>
  </si>
  <si>
    <t>这个数据随机的比较好，尝试手动删除出6;7;8;9;10（6，7，8，10数据穿模），可以论证只要随机数据不穿模（即修正角度不需要太大），二分法可以使用矫正。原因：软件停止未确认：软件停止 move_stop 失败，SDK 返回 10001；请使用实体急停
[19:59:07] 真机当前姿态到目标的路径未通过已确认区域；请添加过渡动作或核对区域。forearm进入禁区 glass_wall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</si>
</sst>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"/>
    <numFmt numFmtId="177" formatCode="0.0000"/>
  </numFmts>
  <fonts count="7">
    <font>
      <sz val="11"/>
      <name val="Carlito"/>
    </font>
    <font>
      <sz val="10"/>
      <color rgb="FF203348"/>
      <name val="Microsoft YaHei"/>
      <family val="2"/>
      <charset val="134"/>
    </font>
    <font>
      <b/>
      <sz val="15"/>
      <color rgb="FF203348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color rgb="FF174F98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44661"/>
      </patternFill>
    </fill>
    <fill>
      <patternFill patternType="solid">
        <fgColor rgb="FFFFF1CB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B5C5D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1" fillId="0" borderId="0" xfId="1" applyFont="1"/>
    <xf numFmtId="0" fontId="2" fillId="0" borderId="0" xfId="1" applyFont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177" fontId="1" fillId="0" borderId="0" xfId="1" applyNumberFormat="1" applyFont="1" applyAlignment="1">
      <alignment vertical="center"/>
    </xf>
    <xf numFmtId="0" fontId="1" fillId="0" borderId="0" xfId="1" applyFont="1" applyAlignment="1">
      <alignment horizontal="center" vertical="center"/>
    </xf>
    <xf numFmtId="176" fontId="1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1" fillId="0" borderId="0" xfId="1" applyFont="1" applyAlignment="1">
      <alignment vertical="center" wrapText="1"/>
    </xf>
    <xf numFmtId="0" fontId="4" fillId="3" borderId="0" xfId="1" applyFont="1" applyFill="1" applyAlignment="1">
      <alignment vertical="center"/>
    </xf>
    <xf numFmtId="0" fontId="4" fillId="3" borderId="0" xfId="1" applyFont="1" applyFill="1" applyAlignment="1">
      <alignment vertical="center" wrapText="1"/>
    </xf>
    <xf numFmtId="0" fontId="1" fillId="4" borderId="5" xfId="1" applyFont="1" applyFill="1" applyBorder="1" applyAlignment="1">
      <alignment horizontal="center" vertical="center"/>
    </xf>
    <xf numFmtId="176" fontId="1" fillId="4" borderId="5" xfId="1" applyNumberFormat="1" applyFont="1" applyFill="1" applyBorder="1" applyAlignment="1">
      <alignment horizontal="center" vertical="center"/>
    </xf>
    <xf numFmtId="177" fontId="1" fillId="4" borderId="5" xfId="1" applyNumberFormat="1" applyFont="1" applyFill="1" applyBorder="1" applyAlignment="1">
      <alignment vertical="center"/>
    </xf>
    <xf numFmtId="0" fontId="4" fillId="4" borderId="5" xfId="1" applyFont="1" applyFill="1" applyBorder="1" applyAlignment="1">
      <alignment vertical="center" wrapText="1"/>
    </xf>
    <xf numFmtId="1" fontId="1" fillId="4" borderId="5" xfId="1" applyNumberFormat="1" applyFont="1" applyFill="1" applyBorder="1" applyAlignment="1">
      <alignment horizontal="center" vertical="center"/>
    </xf>
    <xf numFmtId="0" fontId="1" fillId="4" borderId="5" xfId="1" applyFont="1" applyFill="1" applyBorder="1" applyAlignment="1">
      <alignment vertical="center" wrapText="1"/>
    </xf>
    <xf numFmtId="0" fontId="0" fillId="4" borderId="5" xfId="0" applyFill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lected30FailedCandidateReview" displayName="Selected30FailedCandidateReview" ref="A10:M40" totalsRowShown="0">
  <autoFilter ref="A10:M40" xr:uid="{00000000-0009-0000-0100-000001000000}"/>
  <tableColumns count="13">
    <tableColumn id="1" xr3:uid="{00000000-0010-0000-0000-000001000000}" name="序号"/>
    <tableColumn id="2" xr3:uid="{00000000-0010-0000-0000-000002000000}" name="case_id"/>
    <tableColumn id="3" xr3:uid="{00000000-0010-0000-0000-000003000000}" name="对应修正档 (°)"/>
    <tableColumn id="4" xr3:uid="{00000000-0010-0000-0000-000004000000}" name="抽样层"/>
    <tableColumn id="5" xr3:uid="{00000000-0010-0000-0000-000005000000}" name="总关节变化量 (°)"/>
    <tableColumn id="6" xr3:uid="{00000000-0010-0000-0000-000006000000}" name="失败候选离线复验"/>
    <tableColumn id="7" xr3:uid="{00000000-0010-0000-0000-000007000000}" name="失败候选JSON"/>
    <tableColumn id="8" xr3:uid="{00000000-0010-0000-0000-000008000000}" name="失败候选实测结果"/>
    <tableColumn id="9" xr3:uid="{00000000-0010-0000-0000-000009000000}" name="主要问题或后续处理"/>
    <tableColumn id="10" xr3:uid="{00000000-0010-0000-0000-00000A000000}" name="原始JSON"/>
    <tableColumn id="11" xr3:uid="{00000000-0010-0000-0000-00000B000000}" name="候选改动步数"/>
    <tableColumn id="12" xr3:uid="{00000000-0010-0000-0000-00000C000000}" name="关节路径是否改变"/>
    <tableColumn id="13" xr3:uid="{00000000-0010-0000-0000-00000D000000}" name="未找到修正的步骤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661"/>
  </sheetPr>
  <dimension ref="A1:N40"/>
  <sheetViews>
    <sheetView showGridLines="0" tabSelected="1" workbookViewId="0">
      <pane xSplit="2" ySplit="10" topLeftCell="D35" activePane="bottomRight" state="frozen"/>
      <selection pane="topRight"/>
      <selection pane="bottomLeft"/>
      <selection pane="bottomRight" activeCell="I36" sqref="I36"/>
    </sheetView>
  </sheetViews>
  <sheetFormatPr defaultRowHeight="13.8"/>
  <cols>
    <col min="1" max="1" width="9" customWidth="1"/>
    <col min="2" max="2" width="13" customWidth="1"/>
    <col min="3" max="3" width="18" customWidth="1"/>
    <col min="4" max="4" width="12" customWidth="1"/>
    <col min="5" max="5" width="22" customWidth="1"/>
    <col min="6" max="7" width="21" customWidth="1"/>
    <col min="8" max="8" width="24" customWidth="1"/>
    <col min="9" max="9" width="58" customWidth="1"/>
    <col min="10" max="10" width="20" customWidth="1"/>
    <col min="11" max="11" width="18" customWidth="1"/>
    <col min="12" max="12" width="21" customWidth="1"/>
    <col min="13" max="14" width="36" customWidth="1"/>
  </cols>
  <sheetData>
    <row r="1" spans="1:14" ht="15">
      <c r="A1" s="1"/>
      <c r="B1" s="1"/>
      <c r="C1" s="1"/>
      <c r="D1" s="1"/>
      <c r="E1" s="4"/>
      <c r="F1" s="1"/>
      <c r="G1" s="1"/>
      <c r="H1" s="1"/>
      <c r="I1" s="1"/>
      <c r="J1" s="1"/>
    </row>
    <row r="2" spans="1:14" ht="2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4" ht="1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4" ht="1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</row>
    <row r="5" spans="1:14" ht="1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spans="1:14" ht="15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">
      <c r="A7" s="1" t="s">
        <v>4</v>
      </c>
      <c r="B7" s="1">
        <v>30</v>
      </c>
      <c r="C7" s="1" t="s">
        <v>5</v>
      </c>
      <c r="D7" s="1">
        <f>30-COUNTBLANK(H11:H40)</f>
        <v>30</v>
      </c>
      <c r="E7" s="1" t="s">
        <v>6</v>
      </c>
      <c r="F7" s="1">
        <f>COUNTBLANK(H11:H40)</f>
        <v>0</v>
      </c>
      <c r="G7" s="1" t="s">
        <v>7</v>
      </c>
      <c r="H7" s="1">
        <f>COUNTIFS(K11:K40,"&gt;0")</f>
        <v>11</v>
      </c>
      <c r="I7" s="1" t="s">
        <v>8</v>
      </c>
      <c r="J7" s="1">
        <f>COUNTIFS(K11:K40,0)</f>
        <v>19</v>
      </c>
    </row>
    <row r="8" spans="1:14" ht="15">
      <c r="A8" s="1"/>
      <c r="B8" s="1"/>
      <c r="C8" s="1"/>
      <c r="D8" s="1"/>
      <c r="E8" s="1"/>
      <c r="F8" s="1"/>
      <c r="G8" s="1"/>
      <c r="H8" s="1"/>
      <c r="I8" s="1"/>
      <c r="J8" s="1"/>
    </row>
    <row r="10" spans="1:14" ht="43.05" customHeight="1">
      <c r="A10" s="5" t="s">
        <v>9</v>
      </c>
      <c r="B10" s="6" t="s">
        <v>10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  <c r="H10" s="6" t="s">
        <v>16</v>
      </c>
      <c r="I10" s="6" t="s">
        <v>17</v>
      </c>
      <c r="J10" s="5" t="s">
        <v>18</v>
      </c>
      <c r="K10" s="6" t="s">
        <v>19</v>
      </c>
      <c r="L10" s="6" t="s">
        <v>20</v>
      </c>
      <c r="M10" s="7" t="s">
        <v>21</v>
      </c>
    </row>
    <row r="11" spans="1:14" ht="60">
      <c r="A11" s="9">
        <v>1</v>
      </c>
      <c r="B11" s="10">
        <v>878</v>
      </c>
      <c r="C11" s="9">
        <v>35</v>
      </c>
      <c r="D11" s="9">
        <v>1</v>
      </c>
      <c r="E11" s="8">
        <v>4594.3511257501232</v>
      </c>
      <c r="F11" s="9" t="s">
        <v>22</v>
      </c>
      <c r="G11" s="9" t="s">
        <v>23</v>
      </c>
      <c r="H11" s="13" t="s">
        <v>93</v>
      </c>
      <c r="I11" s="14" t="s">
        <v>92</v>
      </c>
      <c r="J11" s="9" t="s">
        <v>23</v>
      </c>
      <c r="K11" s="11">
        <v>0</v>
      </c>
      <c r="L11" s="9" t="s">
        <v>24</v>
      </c>
      <c r="M11" s="12" t="s">
        <v>25</v>
      </c>
    </row>
    <row r="12" spans="1:14" ht="37.950000000000003" customHeight="1">
      <c r="A12" s="9">
        <v>2</v>
      </c>
      <c r="B12" s="10" t="s">
        <v>26</v>
      </c>
      <c r="C12" s="9">
        <v>40</v>
      </c>
      <c r="D12" s="9">
        <v>1</v>
      </c>
      <c r="E12" s="8">
        <v>5091.6763433996157</v>
      </c>
      <c r="F12" s="9" t="s">
        <v>22</v>
      </c>
      <c r="G12" s="9" t="s">
        <v>27</v>
      </c>
      <c r="H12" s="13" t="s">
        <v>90</v>
      </c>
      <c r="I12" s="14" t="s">
        <v>94</v>
      </c>
      <c r="J12" s="9" t="s">
        <v>27</v>
      </c>
      <c r="K12" s="11">
        <v>0</v>
      </c>
      <c r="L12" s="9" t="s">
        <v>24</v>
      </c>
      <c r="M12" s="12" t="s">
        <v>25</v>
      </c>
    </row>
    <row r="13" spans="1:14" ht="37.950000000000003" customHeight="1">
      <c r="A13" s="9">
        <v>3</v>
      </c>
      <c r="B13" s="10" t="s">
        <v>28</v>
      </c>
      <c r="C13" s="9">
        <v>90</v>
      </c>
      <c r="D13" s="9">
        <v>1</v>
      </c>
      <c r="E13" s="8">
        <v>4995.3588877577531</v>
      </c>
      <c r="F13" s="9" t="s">
        <v>22</v>
      </c>
      <c r="G13" s="9" t="s">
        <v>29</v>
      </c>
      <c r="H13" s="13" t="s">
        <v>90</v>
      </c>
      <c r="I13" s="14" t="s">
        <v>95</v>
      </c>
      <c r="J13" s="9" t="s">
        <v>29</v>
      </c>
      <c r="K13" s="11">
        <v>3</v>
      </c>
      <c r="L13" s="9" t="s">
        <v>30</v>
      </c>
      <c r="M13" s="12" t="s">
        <v>31</v>
      </c>
    </row>
    <row r="14" spans="1:14" ht="37.950000000000003" customHeight="1">
      <c r="A14" s="9">
        <v>4</v>
      </c>
      <c r="B14" s="10" t="s">
        <v>32</v>
      </c>
      <c r="C14" s="9">
        <v>35</v>
      </c>
      <c r="D14" s="9">
        <v>2</v>
      </c>
      <c r="E14" s="8">
        <v>5246.426781061843</v>
      </c>
      <c r="F14" s="9" t="s">
        <v>22</v>
      </c>
      <c r="G14" s="9" t="s">
        <v>33</v>
      </c>
      <c r="H14" s="13" t="s">
        <v>90</v>
      </c>
      <c r="I14" s="14" t="s">
        <v>96</v>
      </c>
      <c r="J14" s="9" t="s">
        <v>33</v>
      </c>
      <c r="K14" s="11">
        <v>1</v>
      </c>
      <c r="L14" s="9" t="s">
        <v>30</v>
      </c>
      <c r="M14" s="12" t="s">
        <v>34</v>
      </c>
    </row>
    <row r="15" spans="1:14" ht="37.950000000000003" customHeight="1">
      <c r="A15" s="9">
        <v>5</v>
      </c>
      <c r="B15" s="10" t="s">
        <v>35</v>
      </c>
      <c r="C15" s="9">
        <v>40</v>
      </c>
      <c r="D15" s="9">
        <v>2</v>
      </c>
      <c r="E15" s="8">
        <v>5289.0435799365105</v>
      </c>
      <c r="F15" s="9" t="s">
        <v>22</v>
      </c>
      <c r="G15" s="9" t="s">
        <v>36</v>
      </c>
      <c r="H15" s="13" t="s">
        <v>90</v>
      </c>
      <c r="I15" s="14" t="s">
        <v>97</v>
      </c>
      <c r="J15" s="9" t="s">
        <v>36</v>
      </c>
      <c r="K15" s="11">
        <v>2</v>
      </c>
      <c r="L15" s="9" t="s">
        <v>30</v>
      </c>
      <c r="M15" s="12" t="s">
        <v>37</v>
      </c>
    </row>
    <row r="16" spans="1:14" ht="37.950000000000003" customHeight="1">
      <c r="A16" s="9">
        <v>6</v>
      </c>
      <c r="B16" s="10" t="s">
        <v>38</v>
      </c>
      <c r="C16" s="9">
        <v>90</v>
      </c>
      <c r="D16" s="9">
        <v>2</v>
      </c>
      <c r="E16" s="8">
        <v>5197.3329133543557</v>
      </c>
      <c r="F16" s="9" t="s">
        <v>22</v>
      </c>
      <c r="G16" s="9" t="s">
        <v>39</v>
      </c>
      <c r="H16" s="13" t="s">
        <v>90</v>
      </c>
      <c r="I16" s="14" t="s">
        <v>94</v>
      </c>
      <c r="J16" s="9" t="s">
        <v>39</v>
      </c>
      <c r="K16" s="11">
        <v>1</v>
      </c>
      <c r="L16" s="9" t="s">
        <v>30</v>
      </c>
      <c r="M16" s="12" t="s">
        <v>34</v>
      </c>
    </row>
    <row r="17" spans="1:13" ht="37.950000000000003" customHeight="1">
      <c r="A17" s="9">
        <v>7</v>
      </c>
      <c r="B17" s="10" t="s">
        <v>40</v>
      </c>
      <c r="C17" s="9">
        <v>35</v>
      </c>
      <c r="D17" s="9">
        <v>3</v>
      </c>
      <c r="E17" s="8">
        <v>5481.9988104909944</v>
      </c>
      <c r="F17" s="9" t="s">
        <v>22</v>
      </c>
      <c r="G17" s="9" t="s">
        <v>41</v>
      </c>
      <c r="H17" s="13" t="s">
        <v>90</v>
      </c>
      <c r="I17" s="14" t="s">
        <v>98</v>
      </c>
      <c r="J17" s="9" t="s">
        <v>41</v>
      </c>
      <c r="K17" s="11">
        <v>0</v>
      </c>
      <c r="L17" s="9" t="s">
        <v>24</v>
      </c>
      <c r="M17" s="12" t="s">
        <v>25</v>
      </c>
    </row>
    <row r="18" spans="1:13" ht="37.950000000000003" customHeight="1">
      <c r="A18" s="9">
        <v>8</v>
      </c>
      <c r="B18" s="10" t="s">
        <v>42</v>
      </c>
      <c r="C18" s="9">
        <v>40</v>
      </c>
      <c r="D18" s="9">
        <v>3</v>
      </c>
      <c r="E18" s="8">
        <v>5494.6811704440152</v>
      </c>
      <c r="F18" s="9" t="s">
        <v>22</v>
      </c>
      <c r="G18" s="9" t="s">
        <v>43</v>
      </c>
      <c r="H18" s="13" t="s">
        <v>90</v>
      </c>
      <c r="I18" s="14" t="s">
        <v>99</v>
      </c>
      <c r="J18" s="9" t="s">
        <v>43</v>
      </c>
      <c r="K18" s="11">
        <v>0</v>
      </c>
      <c r="L18" s="9" t="s">
        <v>24</v>
      </c>
      <c r="M18" s="12" t="s">
        <v>25</v>
      </c>
    </row>
    <row r="19" spans="1:13" ht="37.950000000000003" customHeight="1">
      <c r="A19" s="9">
        <v>9</v>
      </c>
      <c r="B19" s="10" t="s">
        <v>44</v>
      </c>
      <c r="C19" s="9">
        <v>90</v>
      </c>
      <c r="D19" s="9">
        <v>3</v>
      </c>
      <c r="E19" s="8">
        <v>5515.9765139499359</v>
      </c>
      <c r="F19" s="9" t="s">
        <v>22</v>
      </c>
      <c r="G19" s="9" t="s">
        <v>45</v>
      </c>
      <c r="H19" s="13" t="s">
        <v>91</v>
      </c>
      <c r="I19" s="14" t="s">
        <v>100</v>
      </c>
      <c r="J19" s="9" t="s">
        <v>45</v>
      </c>
      <c r="K19" s="11">
        <v>3</v>
      </c>
      <c r="L19" s="9" t="s">
        <v>30</v>
      </c>
      <c r="M19" s="12" t="s">
        <v>46</v>
      </c>
    </row>
    <row r="20" spans="1:13" ht="37.950000000000003" customHeight="1">
      <c r="A20" s="9">
        <v>10</v>
      </c>
      <c r="B20" s="10" t="s">
        <v>47</v>
      </c>
      <c r="C20" s="9">
        <v>35</v>
      </c>
      <c r="D20" s="9">
        <v>4</v>
      </c>
      <c r="E20" s="8">
        <v>5566.5381564775726</v>
      </c>
      <c r="F20" s="9" t="s">
        <v>22</v>
      </c>
      <c r="G20" s="9" t="s">
        <v>48</v>
      </c>
      <c r="H20" s="13" t="s">
        <v>22</v>
      </c>
      <c r="I20" s="14" t="s">
        <v>101</v>
      </c>
      <c r="J20" s="9" t="s">
        <v>48</v>
      </c>
      <c r="K20" s="11">
        <v>2</v>
      </c>
      <c r="L20" s="9" t="s">
        <v>30</v>
      </c>
      <c r="M20" s="12" t="s">
        <v>49</v>
      </c>
    </row>
    <row r="21" spans="1:13" ht="37.950000000000003" customHeight="1">
      <c r="A21" s="9">
        <v>11</v>
      </c>
      <c r="B21" s="10" t="s">
        <v>50</v>
      </c>
      <c r="C21" s="9">
        <v>40</v>
      </c>
      <c r="D21" s="9">
        <v>4</v>
      </c>
      <c r="E21" s="8">
        <v>5540.8871674950133</v>
      </c>
      <c r="F21" s="9" t="s">
        <v>22</v>
      </c>
      <c r="G21" s="9" t="s">
        <v>51</v>
      </c>
      <c r="H21" s="13" t="s">
        <v>22</v>
      </c>
      <c r="I21" s="14" t="s">
        <v>102</v>
      </c>
      <c r="J21" s="9" t="s">
        <v>51</v>
      </c>
      <c r="K21" s="11">
        <v>0</v>
      </c>
      <c r="L21" s="9" t="s">
        <v>24</v>
      </c>
      <c r="M21" s="12" t="s">
        <v>25</v>
      </c>
    </row>
    <row r="22" spans="1:13" ht="37.950000000000003" customHeight="1">
      <c r="A22" s="9">
        <v>12</v>
      </c>
      <c r="B22" s="10" t="s">
        <v>52</v>
      </c>
      <c r="C22" s="9">
        <v>90</v>
      </c>
      <c r="D22" s="9">
        <v>4</v>
      </c>
      <c r="E22" s="8">
        <v>5655.2566413075974</v>
      </c>
      <c r="F22" s="9" t="s">
        <v>22</v>
      </c>
      <c r="G22" s="9" t="s">
        <v>53</v>
      </c>
      <c r="H22" s="13" t="s">
        <v>22</v>
      </c>
      <c r="I22" s="14" t="s">
        <v>101</v>
      </c>
      <c r="J22" s="9" t="s">
        <v>53</v>
      </c>
      <c r="K22" s="11">
        <v>1</v>
      </c>
      <c r="L22" s="9" t="s">
        <v>30</v>
      </c>
      <c r="M22" s="12" t="s">
        <v>34</v>
      </c>
    </row>
    <row r="23" spans="1:13" ht="37.950000000000003" customHeight="1">
      <c r="A23" s="9">
        <v>13</v>
      </c>
      <c r="B23" s="10" t="s">
        <v>54</v>
      </c>
      <c r="C23" s="9">
        <v>35</v>
      </c>
      <c r="D23" s="9">
        <v>5</v>
      </c>
      <c r="E23" s="8">
        <v>5777.9574870700581</v>
      </c>
      <c r="F23" s="9" t="s">
        <v>22</v>
      </c>
      <c r="G23" s="9" t="s">
        <v>55</v>
      </c>
      <c r="H23" s="13" t="s">
        <v>22</v>
      </c>
      <c r="I23" s="14" t="s">
        <v>102</v>
      </c>
      <c r="J23" s="9" t="s">
        <v>55</v>
      </c>
      <c r="K23" s="11">
        <v>0</v>
      </c>
      <c r="L23" s="9" t="s">
        <v>24</v>
      </c>
      <c r="M23" s="12" t="s">
        <v>25</v>
      </c>
    </row>
    <row r="24" spans="1:13" ht="37.950000000000003" customHeight="1">
      <c r="A24" s="9">
        <v>14</v>
      </c>
      <c r="B24" s="10" t="s">
        <v>56</v>
      </c>
      <c r="C24" s="9">
        <v>40</v>
      </c>
      <c r="D24" s="9">
        <v>5</v>
      </c>
      <c r="E24" s="8">
        <v>5664.3138341325748</v>
      </c>
      <c r="F24" s="9" t="s">
        <v>22</v>
      </c>
      <c r="G24" s="9" t="s">
        <v>57</v>
      </c>
      <c r="H24" s="13" t="s">
        <v>22</v>
      </c>
      <c r="I24" s="14" t="s">
        <v>103</v>
      </c>
      <c r="J24" s="9" t="s">
        <v>57</v>
      </c>
      <c r="K24" s="11">
        <v>0</v>
      </c>
      <c r="L24" s="9" t="s">
        <v>24</v>
      </c>
      <c r="M24" s="12" t="s">
        <v>25</v>
      </c>
    </row>
    <row r="25" spans="1:13" ht="37.950000000000003" customHeight="1">
      <c r="A25" s="9">
        <v>15</v>
      </c>
      <c r="B25" s="10" t="s">
        <v>58</v>
      </c>
      <c r="C25" s="9">
        <v>90</v>
      </c>
      <c r="D25" s="9">
        <v>5</v>
      </c>
      <c r="E25" s="8">
        <v>5786.4022886055191</v>
      </c>
      <c r="F25" s="9" t="s">
        <v>22</v>
      </c>
      <c r="G25" s="9" t="s">
        <v>59</v>
      </c>
      <c r="H25" s="13" t="s">
        <v>22</v>
      </c>
      <c r="I25" s="14" t="s">
        <v>103</v>
      </c>
      <c r="J25" s="9" t="s">
        <v>59</v>
      </c>
      <c r="K25" s="11">
        <v>3</v>
      </c>
      <c r="L25" s="9" t="s">
        <v>30</v>
      </c>
      <c r="M25" s="12" t="s">
        <v>46</v>
      </c>
    </row>
    <row r="26" spans="1:13" ht="37.950000000000003" customHeight="1">
      <c r="A26" s="9">
        <v>16</v>
      </c>
      <c r="B26" s="10" t="s">
        <v>60</v>
      </c>
      <c r="C26" s="9">
        <v>35</v>
      </c>
      <c r="D26" s="9">
        <v>6</v>
      </c>
      <c r="E26" s="8">
        <v>5867.3144134255881</v>
      </c>
      <c r="F26" s="9" t="s">
        <v>22</v>
      </c>
      <c r="G26" s="9" t="s">
        <v>61</v>
      </c>
      <c r="H26" s="13" t="s">
        <v>22</v>
      </c>
      <c r="I26" s="14" t="s">
        <v>104</v>
      </c>
      <c r="J26" s="9" t="s">
        <v>61</v>
      </c>
      <c r="K26" s="11">
        <v>0</v>
      </c>
      <c r="L26" s="9" t="s">
        <v>24</v>
      </c>
      <c r="M26" s="12" t="s">
        <v>25</v>
      </c>
    </row>
    <row r="27" spans="1:13" ht="37.950000000000003" customHeight="1">
      <c r="A27" s="9">
        <v>17</v>
      </c>
      <c r="B27" s="10" t="s">
        <v>62</v>
      </c>
      <c r="C27" s="9">
        <v>40</v>
      </c>
      <c r="D27" s="9">
        <v>6</v>
      </c>
      <c r="E27" s="8">
        <v>5897.8559829836868</v>
      </c>
      <c r="F27" s="9" t="s">
        <v>22</v>
      </c>
      <c r="G27" s="9" t="s">
        <v>63</v>
      </c>
      <c r="H27" s="13" t="s">
        <v>22</v>
      </c>
      <c r="I27" s="14" t="s">
        <v>105</v>
      </c>
      <c r="J27" s="9" t="s">
        <v>63</v>
      </c>
      <c r="K27" s="11">
        <v>0</v>
      </c>
      <c r="L27" s="9" t="s">
        <v>24</v>
      </c>
      <c r="M27" s="12" t="s">
        <v>25</v>
      </c>
    </row>
    <row r="28" spans="1:13" ht="37.950000000000003" customHeight="1">
      <c r="A28" s="9">
        <v>18</v>
      </c>
      <c r="B28" s="10" t="s">
        <v>64</v>
      </c>
      <c r="C28" s="9">
        <v>90</v>
      </c>
      <c r="D28" s="9">
        <v>6</v>
      </c>
      <c r="E28" s="8">
        <v>5876.9386102859589</v>
      </c>
      <c r="F28" s="9" t="s">
        <v>22</v>
      </c>
      <c r="G28" s="9" t="s">
        <v>65</v>
      </c>
      <c r="H28" s="13" t="s">
        <v>22</v>
      </c>
      <c r="I28" s="14" t="s">
        <v>106</v>
      </c>
      <c r="J28" s="9" t="s">
        <v>65</v>
      </c>
      <c r="K28" s="11">
        <v>0</v>
      </c>
      <c r="L28" s="9" t="s">
        <v>24</v>
      </c>
      <c r="M28" s="12" t="s">
        <v>25</v>
      </c>
    </row>
    <row r="29" spans="1:13" ht="37.950000000000003" customHeight="1">
      <c r="A29" s="9">
        <v>19</v>
      </c>
      <c r="B29" s="10" t="s">
        <v>66</v>
      </c>
      <c r="C29" s="9">
        <v>35</v>
      </c>
      <c r="D29" s="9">
        <v>7</v>
      </c>
      <c r="E29" s="8">
        <v>6027.9431055522082</v>
      </c>
      <c r="F29" s="9" t="s">
        <v>22</v>
      </c>
      <c r="G29" s="9" t="s">
        <v>67</v>
      </c>
      <c r="H29" s="13" t="s">
        <v>22</v>
      </c>
      <c r="I29" s="14" t="s">
        <v>107</v>
      </c>
      <c r="J29" s="9" t="s">
        <v>67</v>
      </c>
      <c r="K29" s="11">
        <v>0</v>
      </c>
      <c r="L29" s="9" t="s">
        <v>24</v>
      </c>
      <c r="M29" s="12" t="s">
        <v>25</v>
      </c>
    </row>
    <row r="30" spans="1:13" ht="37.950000000000003" customHeight="1">
      <c r="A30" s="9">
        <v>20</v>
      </c>
      <c r="B30" s="10" t="s">
        <v>68</v>
      </c>
      <c r="C30" s="9">
        <v>40</v>
      </c>
      <c r="D30" s="9">
        <v>7</v>
      </c>
      <c r="E30" s="8">
        <v>6011.3631643542767</v>
      </c>
      <c r="F30" s="9" t="s">
        <v>22</v>
      </c>
      <c r="G30" s="9" t="s">
        <v>69</v>
      </c>
      <c r="H30" s="13" t="s">
        <v>22</v>
      </c>
      <c r="I30" s="14" t="s">
        <v>108</v>
      </c>
      <c r="J30" s="9" t="s">
        <v>69</v>
      </c>
      <c r="K30" s="11">
        <v>0</v>
      </c>
      <c r="L30" s="9" t="s">
        <v>24</v>
      </c>
      <c r="M30" s="12" t="s">
        <v>25</v>
      </c>
    </row>
    <row r="31" spans="1:13" ht="37.950000000000003" customHeight="1">
      <c r="A31" s="9">
        <v>21</v>
      </c>
      <c r="B31" s="10" t="s">
        <v>70</v>
      </c>
      <c r="C31" s="9">
        <v>90</v>
      </c>
      <c r="D31" s="9">
        <v>7</v>
      </c>
      <c r="E31" s="8">
        <v>6055.3930374886449</v>
      </c>
      <c r="F31" s="9" t="s">
        <v>22</v>
      </c>
      <c r="G31" s="9" t="s">
        <v>71</v>
      </c>
      <c r="H31" s="13" t="s">
        <v>22</v>
      </c>
      <c r="I31" s="14" t="s">
        <v>109</v>
      </c>
      <c r="J31" s="9" t="s">
        <v>71</v>
      </c>
      <c r="K31" s="11">
        <v>0</v>
      </c>
      <c r="L31" s="9" t="s">
        <v>24</v>
      </c>
      <c r="M31" s="12" t="s">
        <v>25</v>
      </c>
    </row>
    <row r="32" spans="1:13" ht="37.950000000000003" customHeight="1">
      <c r="A32" s="9">
        <v>22</v>
      </c>
      <c r="B32" s="10" t="s">
        <v>72</v>
      </c>
      <c r="C32" s="9">
        <v>35</v>
      </c>
      <c r="D32" s="9">
        <v>8</v>
      </c>
      <c r="E32" s="8">
        <v>6164.2612953907974</v>
      </c>
      <c r="F32" s="9" t="s">
        <v>22</v>
      </c>
      <c r="G32" s="9" t="s">
        <v>73</v>
      </c>
      <c r="H32" s="13" t="s">
        <v>22</v>
      </c>
      <c r="I32" s="14" t="s">
        <v>110</v>
      </c>
      <c r="J32" s="9" t="s">
        <v>73</v>
      </c>
      <c r="K32" s="11">
        <v>0</v>
      </c>
      <c r="L32" s="9" t="s">
        <v>24</v>
      </c>
      <c r="M32" s="12" t="s">
        <v>25</v>
      </c>
    </row>
    <row r="33" spans="1:13" ht="37.950000000000003" customHeight="1">
      <c r="A33" s="9">
        <v>23</v>
      </c>
      <c r="B33" s="10" t="s">
        <v>74</v>
      </c>
      <c r="C33" s="9">
        <v>40</v>
      </c>
      <c r="D33" s="9">
        <v>8</v>
      </c>
      <c r="E33" s="8">
        <v>6231.2747551651291</v>
      </c>
      <c r="F33" s="9" t="s">
        <v>22</v>
      </c>
      <c r="G33" s="9" t="s">
        <v>75</v>
      </c>
      <c r="H33" s="13" t="s">
        <v>22</v>
      </c>
      <c r="I33" s="14" t="s">
        <v>111</v>
      </c>
      <c r="J33" s="9" t="s">
        <v>75</v>
      </c>
      <c r="K33" s="11">
        <v>0</v>
      </c>
      <c r="L33" s="9" t="s">
        <v>24</v>
      </c>
      <c r="M33" s="12" t="s">
        <v>25</v>
      </c>
    </row>
    <row r="34" spans="1:13" ht="37.950000000000003" customHeight="1">
      <c r="A34" s="9">
        <v>24</v>
      </c>
      <c r="B34" s="10" t="s">
        <v>76</v>
      </c>
      <c r="C34" s="9">
        <v>90</v>
      </c>
      <c r="D34" s="9">
        <v>8</v>
      </c>
      <c r="E34" s="8">
        <v>6190.4722937478164</v>
      </c>
      <c r="F34" s="9" t="s">
        <v>22</v>
      </c>
      <c r="G34" s="9" t="s">
        <v>77</v>
      </c>
      <c r="H34" s="13" t="s">
        <v>22</v>
      </c>
      <c r="I34" s="14" t="s">
        <v>112</v>
      </c>
      <c r="J34" s="9" t="s">
        <v>77</v>
      </c>
      <c r="K34" s="11">
        <v>1</v>
      </c>
      <c r="L34" s="9" t="s">
        <v>30</v>
      </c>
      <c r="M34" s="12" t="s">
        <v>34</v>
      </c>
    </row>
    <row r="35" spans="1:13" ht="37.950000000000003" customHeight="1">
      <c r="A35" s="9">
        <v>25</v>
      </c>
      <c r="B35" s="10" t="s">
        <v>78</v>
      </c>
      <c r="C35" s="9">
        <v>35</v>
      </c>
      <c r="D35" s="9">
        <v>9</v>
      </c>
      <c r="E35" s="8">
        <v>6440.4377608557133</v>
      </c>
      <c r="F35" s="9" t="s">
        <v>22</v>
      </c>
      <c r="G35" s="9" t="s">
        <v>79</v>
      </c>
      <c r="H35" s="13" t="s">
        <v>22</v>
      </c>
      <c r="I35" s="14" t="s">
        <v>114</v>
      </c>
      <c r="J35" s="9" t="s">
        <v>79</v>
      </c>
      <c r="K35" s="11">
        <v>1</v>
      </c>
      <c r="L35" s="9" t="s">
        <v>30</v>
      </c>
      <c r="M35" s="12" t="s">
        <v>34</v>
      </c>
    </row>
    <row r="36" spans="1:13" ht="37.950000000000003" customHeight="1">
      <c r="A36" s="9">
        <v>26</v>
      </c>
      <c r="B36" s="10" t="s">
        <v>80</v>
      </c>
      <c r="C36" s="9">
        <v>40</v>
      </c>
      <c r="D36" s="9">
        <v>9</v>
      </c>
      <c r="E36" s="8">
        <v>6267.3289030313008</v>
      </c>
      <c r="F36" s="9" t="s">
        <v>22</v>
      </c>
      <c r="G36" s="9" t="s">
        <v>81</v>
      </c>
      <c r="H36" s="13" t="s">
        <v>22</v>
      </c>
      <c r="I36" s="14" t="s">
        <v>116</v>
      </c>
      <c r="J36" s="9" t="s">
        <v>81</v>
      </c>
      <c r="K36" s="11">
        <v>0</v>
      </c>
      <c r="L36" s="9" t="s">
        <v>24</v>
      </c>
      <c r="M36" s="12" t="s">
        <v>25</v>
      </c>
    </row>
    <row r="37" spans="1:13" s="21" customFormat="1" ht="90">
      <c r="A37" s="15">
        <v>27</v>
      </c>
      <c r="B37" s="16" t="s">
        <v>82</v>
      </c>
      <c r="C37" s="15">
        <v>90</v>
      </c>
      <c r="D37" s="15">
        <v>9</v>
      </c>
      <c r="E37" s="17">
        <v>6429.7354353555656</v>
      </c>
      <c r="F37" s="15" t="s">
        <v>22</v>
      </c>
      <c r="G37" s="15" t="s">
        <v>83</v>
      </c>
      <c r="H37" s="13" t="s">
        <v>93</v>
      </c>
      <c r="I37" s="18" t="s">
        <v>119</v>
      </c>
      <c r="J37" s="15" t="s">
        <v>83</v>
      </c>
      <c r="K37" s="19">
        <v>5</v>
      </c>
      <c r="L37" s="15" t="s">
        <v>30</v>
      </c>
      <c r="M37" s="20" t="s">
        <v>118</v>
      </c>
    </row>
    <row r="38" spans="1:13" ht="37.950000000000003" customHeight="1">
      <c r="A38" s="9">
        <v>28</v>
      </c>
      <c r="B38" s="10" t="s">
        <v>84</v>
      </c>
      <c r="C38" s="9">
        <v>35</v>
      </c>
      <c r="D38" s="9">
        <v>10</v>
      </c>
      <c r="E38" s="8">
        <v>6583.9508846255076</v>
      </c>
      <c r="F38" s="9" t="s">
        <v>22</v>
      </c>
      <c r="G38" s="9" t="s">
        <v>85</v>
      </c>
      <c r="H38" s="13" t="s">
        <v>22</v>
      </c>
      <c r="I38" s="14" t="s">
        <v>117</v>
      </c>
      <c r="J38" s="9" t="s">
        <v>85</v>
      </c>
      <c r="K38" s="11">
        <v>0</v>
      </c>
      <c r="L38" s="9" t="s">
        <v>24</v>
      </c>
      <c r="M38" s="12" t="s">
        <v>25</v>
      </c>
    </row>
    <row r="39" spans="1:13" ht="37.950000000000003" customHeight="1">
      <c r="A39" s="9">
        <v>29</v>
      </c>
      <c r="B39" s="10" t="s">
        <v>86</v>
      </c>
      <c r="C39" s="9">
        <v>40</v>
      </c>
      <c r="D39" s="9">
        <v>10</v>
      </c>
      <c r="E39" s="8">
        <v>6707.5325281928681</v>
      </c>
      <c r="F39" s="9" t="s">
        <v>22</v>
      </c>
      <c r="G39" s="9" t="s">
        <v>87</v>
      </c>
      <c r="H39" s="13" t="s">
        <v>22</v>
      </c>
      <c r="I39" s="14" t="s">
        <v>115</v>
      </c>
      <c r="J39" s="9" t="s">
        <v>87</v>
      </c>
      <c r="K39" s="11">
        <v>0</v>
      </c>
      <c r="L39" s="9" t="s">
        <v>24</v>
      </c>
      <c r="M39" s="12" t="s">
        <v>25</v>
      </c>
    </row>
    <row r="40" spans="1:13" ht="37.950000000000003" customHeight="1">
      <c r="A40" s="9">
        <v>30</v>
      </c>
      <c r="B40" s="10" t="s">
        <v>88</v>
      </c>
      <c r="C40" s="9">
        <v>90</v>
      </c>
      <c r="D40" s="9">
        <v>10</v>
      </c>
      <c r="E40" s="8">
        <v>6694.2185367607881</v>
      </c>
      <c r="F40" s="9" t="s">
        <v>22</v>
      </c>
      <c r="G40" s="9" t="s">
        <v>89</v>
      </c>
      <c r="H40" s="13" t="s">
        <v>22</v>
      </c>
      <c r="I40" s="14" t="s">
        <v>113</v>
      </c>
      <c r="J40" s="9" t="s">
        <v>89</v>
      </c>
      <c r="K40" s="11">
        <v>0</v>
      </c>
      <c r="L40" s="9" t="s">
        <v>24</v>
      </c>
      <c r="M40" s="12" t="s">
        <v>25</v>
      </c>
    </row>
  </sheetData>
  <phoneticPr fontId="6" type="noConversion"/>
  <dataValidations count="1">
    <dataValidation type="list" sqref="H11:H40" xr:uid="{00000000-0002-0000-0000-000000000000}">
      <formula1>"完成,失败,中止,暂不测试,需修改后复核"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30组排查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2026-10-16T11:59:51Z</dcterms:modified>
</cp:coreProperties>
</file>