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/>
  </mc:AlternateContent>
  <xr:revisionPtr revIDLastSave="0" documentId="13_ncr:1_{FCE6AB0E-30C3-4B09-9D50-81DED616D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成对计时" sheetId="1" r:id="rId1"/>
    <sheet name="方法与字段" sheetId="2" r:id="rId2"/>
  </sheets>
  <calcPr calcId="191029"/>
</workbook>
</file>

<file path=xl/calcChain.xml><?xml version="1.0" encoding="utf-8"?>
<calcChain xmlns="http://schemas.openxmlformats.org/spreadsheetml/2006/main">
  <c r="I24" i="1" l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H9" i="1"/>
  <c r="F9" i="1" l="1"/>
</calcChain>
</file>

<file path=xl/sharedStrings.xml><?xml version="1.0" encoding="utf-8"?>
<sst xmlns="http://schemas.openxmlformats.org/spreadsheetml/2006/main" count="141" uniqueCount="96">
  <si>
    <t>工业动作编排效率对照</t>
  </si>
  <si>
    <t>5组候选分别对照示教器、JSON微调，共10行。黄色时间栏填写分钟；节约率显示为整数百分比。</t>
  </si>
  <si>
    <t>候选case_id对应原始包的S-xxxx.json，目标参考JSON对应90°校正通过包；两包已逐组配对。</t>
  </si>
  <si>
    <t>操作者经验为随机计划，不是已测记录。算法列为历史批处理单组核心调用耗时，仅供参考。</t>
  </si>
  <si>
    <t>校正通过仅指冻结代理检查；来源范围和实机验证状态见方法说明。</t>
  </si>
  <si>
    <t>候选数</t>
  </si>
  <si>
    <t>对照行数</t>
  </si>
  <si>
    <t>已填计时</t>
  </si>
  <si>
    <t>核心累计 (s)</t>
  </si>
  <si>
    <t>算法核心累计只计5个不同case一次，不是5组并行运行的批量墙钟时间。</t>
  </si>
  <si>
    <t>任务编号</t>
  </si>
  <si>
    <t>候选case_id</t>
  </si>
  <si>
    <t>目标参考JSON</t>
  </si>
  <si>
    <t>操作者/经验（计划）</t>
  </si>
  <si>
    <t>传统方法</t>
  </si>
  <si>
    <t>传统总耗时 (min)</t>
  </si>
  <si>
    <t>新方法总耗时 (min)</t>
  </si>
  <si>
    <t>算法批量单组耗时 (s，参考)</t>
  </si>
  <si>
    <t>时间节约率</t>
  </si>
  <si>
    <t>备注</t>
  </si>
  <si>
    <t>01-T</t>
  </si>
  <si>
    <t>S-0276</t>
  </si>
  <si>
    <t>YS-0276.json</t>
  </si>
  <si>
    <t>新手</t>
  </si>
  <si>
    <t>示教器</t>
  </si>
  <si>
    <t>01-J</t>
  </si>
  <si>
    <t>JSON微调</t>
  </si>
  <si>
    <t>02-T</t>
  </si>
  <si>
    <t>S-0811</t>
  </si>
  <si>
    <t>YS-0811.json</t>
  </si>
  <si>
    <t>本人</t>
  </si>
  <si>
    <t>02-J</t>
  </si>
  <si>
    <t>03-T</t>
  </si>
  <si>
    <t>S-0070</t>
  </si>
  <si>
    <t>YS-0070.json</t>
  </si>
  <si>
    <t>03-J</t>
  </si>
  <si>
    <t>04-T</t>
  </si>
  <si>
    <t>S-0170</t>
  </si>
  <si>
    <t>YS-0170.json</t>
  </si>
  <si>
    <t>熟练</t>
  </si>
  <si>
    <t>04-J</t>
  </si>
  <si>
    <t>05-T</t>
  </si>
  <si>
    <t>S-0753</t>
  </si>
  <si>
    <t>YS-0753.json</t>
  </si>
  <si>
    <t>05-J</t>
  </si>
  <si>
    <t>抽样配对与字段说明</t>
  </si>
  <si>
    <t>S系列35°/45°/90°代理通过率为0%/3%/48.6%。本次仅从90°档486组通过池中抽5组。</t>
  </si>
  <si>
    <t>5/486≈1.0288%。按原始关节总变化量排序并作Rankit正态分位分层，五层各抽1组。</t>
  </si>
  <si>
    <t>抽样种子20261017；经验计划种子2026101701。熟练2组、新手2组、本人1组。</t>
  </si>
  <si>
    <t>层</t>
  </si>
  <si>
    <t>层内case数</t>
  </si>
  <si>
    <t>源排序范围</t>
  </si>
  <si>
    <t>原始JSON</t>
  </si>
  <si>
    <t>初始经验计划</t>
  </si>
  <si>
    <t>单组核心耗时 (s)</t>
  </si>
  <si>
    <t>单case纳入概率</t>
  </si>
  <si>
    <t>分层汇总权重</t>
  </si>
  <si>
    <t>1—97</t>
  </si>
  <si>
    <t>S-0276.json</t>
  </si>
  <si>
    <t>98—194</t>
  </si>
  <si>
    <t>S-0811.json</t>
  </si>
  <si>
    <t>195—292</t>
  </si>
  <si>
    <t>S-0070.json</t>
  </si>
  <si>
    <t>293—389</t>
  </si>
  <si>
    <t>S-0170.json</t>
  </si>
  <si>
    <t>390—486</t>
  </si>
  <si>
    <t>S-0753.json</t>
  </si>
  <si>
    <t>任务同步</t>
  </si>
  <si>
    <t>同一case的传统方法与新方法使用同一原始输入及同一目标JSON；示教器按相同关节点位设定，JSON微调从该原始文件开始。</t>
  </si>
  <si>
    <t>时间字段</t>
  </si>
  <si>
    <t>F、G列均为分钟。包括准备、编排、复核及返工；各行分别计时，不把同case的首次学习时间直接复制到第二种对照。</t>
  </si>
  <si>
    <t>节约率</t>
  </si>
  <si>
    <t>(传统分钟−新方法分钟)/传统分钟。两值为数字、传统&gt;0且新方法≥0时计算；新方法更慢时保留负百分比。</t>
  </si>
  <si>
    <t>未完成记录</t>
  </si>
  <si>
    <t>未做实验留空。中止或未达到同一目标时在备注写明，不把提前中止时间当作完整任务的效率提升。</t>
  </si>
  <si>
    <t>算法参考</t>
  </si>
  <si>
    <t>H列读取既有elapsed_s，仅含单次核心repair调用；不含原始/最终复验、写盘、JIT和人工。重复两行显示不代表算法运行两次。</t>
  </si>
  <si>
    <t>分组含义</t>
  </si>
  <si>
    <t>4:4:2是计划分配：5个case为2熟练/2新手/1本人，展开10行为4/4/2。本人是操作者类别，不推定具体熟练度。</t>
  </si>
  <si>
    <t>统计范围</t>
  </si>
  <si>
    <t>每层1个，5个独立case、两种基线各5对；不能把10行当10个独立case。只描述90°代理通过池条件下的效率。</t>
  </si>
  <si>
    <t>验证状态</t>
  </si>
  <si>
    <t>90°通过池486组全部未满足原Data观察范围；“校正通过”不等于实际标定、任务保持或实机验证通过。JSON按原字节复制。</t>
  </si>
  <si>
    <t>方法文献</t>
  </si>
  <si>
    <t>McKay等，Technometrics 1979，21(2):239–245，DOI 10.1080/00401706.1979.10489755；Beasley等，Behavior Genetics 2009，39(5):580–595，DOI 10.1007/s10519-009-9281-0。</t>
  </si>
  <si>
    <t>文献链接</t>
  </si>
  <si>
    <t>https://www.stat.cmu.edu/technometrics/70-79/VOL-21-02/v2102239.pdf   https://pmc.ncbi.nlm.nih.gov/articles/PMC2921808/</t>
  </si>
  <si>
    <t>源数据</t>
  </si>
  <si>
    <t>S系列微调实验/records/batch_results.csv；原始S-xxxx.json与输出YS-xxxx.json由抽样配对清单记录路径及SHA256。完整论文叙述见同目录方法说明.txt。</t>
  </si>
  <si>
    <t>新手逐渐尝试使用使能手动扳倒指定动作，本次web仿真端没有矫正成功，使用手动矫正</t>
    <phoneticPr fontId="6" type="noConversion"/>
  </si>
  <si>
    <t>包含第一次使用启动访问界面时间.本次web仿真端没有矫正成功，部分使用手动矫正，9，10动作自动矫正。</t>
    <phoneticPr fontId="6" type="noConversion"/>
  </si>
  <si>
    <t>传统方法主要老是输错相关参数.本次web仿真端没有矫正成功，部分使用手动矫正，9，10动作自动矫正。</t>
    <phoneticPr fontId="6" type="noConversion"/>
  </si>
  <si>
    <t>不会写，没参考意义，本次web仿真端没有自动矫正成功，使用手动矫正</t>
    <phoneticPr fontId="6" type="noConversion"/>
  </si>
  <si>
    <t>新手有一定机器人基础（看过机器人导论）</t>
    <phoneticPr fontId="6" type="noConversion"/>
  </si>
  <si>
    <t>大于1小时，不太懂相关参数，且第二次上手会流程新方法时间简短，使用自动矫正。</t>
    <phoneticPr fontId="6" type="noConversion"/>
  </si>
  <si>
    <t>本次web仿真端没有自动矫正成功，先是把每个动作测试安全区，然后使用自动矫正成功。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</si>
</sst>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00"/>
    <numFmt numFmtId="178" formatCode="0.0000%"/>
  </numFmts>
  <fonts count="7">
    <font>
      <sz val="11"/>
      <name val="Carlito"/>
    </font>
    <font>
      <sz val="10"/>
      <color rgb="FF203348"/>
      <name val="Microsoft YaHei"/>
      <family val="2"/>
      <charset val="134"/>
    </font>
    <font>
      <b/>
      <sz val="15"/>
      <color rgb="FF203348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74F9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4661"/>
      </patternFill>
    </fill>
    <fill>
      <patternFill patternType="solid">
        <fgColor rgb="FFFFF1CB"/>
      </patternFill>
    </fill>
  </fills>
  <borders count="5">
    <border>
      <left/>
      <right/>
      <top/>
      <bottom/>
      <diagonal/>
    </border>
    <border>
      <left/>
      <right/>
      <top/>
      <bottom style="thin">
        <color rgb="FFB5C5D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1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2" fontId="4" fillId="3" borderId="0" xfId="1" applyNumberFormat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3" borderId="0" xfId="1" applyFont="1" applyFill="1" applyAlignment="1">
      <alignment vertical="center" wrapText="1"/>
    </xf>
    <xf numFmtId="176" fontId="1" fillId="0" borderId="0" xfId="1" applyNumberFormat="1" applyFont="1"/>
    <xf numFmtId="177" fontId="1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fficiencyPairs" displayName="EfficiencyPairs" ref="A14:J24" totalsRowShown="0">
  <autoFilter ref="A14:J24" xr:uid="{00000000-0009-0000-0100-000001000000}"/>
  <tableColumns count="10">
    <tableColumn id="1" xr3:uid="{00000000-0010-0000-0000-000001000000}" name="任务编号"/>
    <tableColumn id="2" xr3:uid="{00000000-0010-0000-0000-000002000000}" name="候选case_id"/>
    <tableColumn id="3" xr3:uid="{00000000-0010-0000-0000-000003000000}" name="目标参考JSON"/>
    <tableColumn id="4" xr3:uid="{00000000-0010-0000-0000-000004000000}" name="操作者/经验（计划）"/>
    <tableColumn id="5" xr3:uid="{00000000-0010-0000-0000-000005000000}" name="传统方法"/>
    <tableColumn id="6" xr3:uid="{00000000-0010-0000-0000-000006000000}" name="传统总耗时 (min)"/>
    <tableColumn id="7" xr3:uid="{00000000-0010-0000-0000-000007000000}" name="新方法总耗时 (min)"/>
    <tableColumn id="8" xr3:uid="{00000000-0010-0000-0000-000008000000}" name="算法批量单组耗时 (s，参考)"/>
    <tableColumn id="9" xr3:uid="{00000000-0010-0000-0000-000009000000}" name="时间节约率"/>
    <tableColumn id="10" xr3:uid="{00000000-0010-0000-0000-00000A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veSourcePairs" displayName="FiveSourcePairs" ref="A8:J13" totalsRowShown="0">
  <autoFilter ref="A8:J13" xr:uid="{00000000-0009-0000-0100-000002000000}"/>
  <tableColumns count="10">
    <tableColumn id="1" xr3:uid="{00000000-0010-0000-0100-000001000000}" name="层"/>
    <tableColumn id="2" xr3:uid="{00000000-0010-0000-0100-000002000000}" name="层内case数"/>
    <tableColumn id="3" xr3:uid="{00000000-0010-0000-0100-000003000000}" name="源排序范围"/>
    <tableColumn id="4" xr3:uid="{00000000-0010-0000-0100-000004000000}" name="候选case_id"/>
    <tableColumn id="5" xr3:uid="{00000000-0010-0000-0100-000005000000}" name="原始JSON"/>
    <tableColumn id="6" xr3:uid="{00000000-0010-0000-0100-000006000000}" name="目标参考JSON"/>
    <tableColumn id="7" xr3:uid="{00000000-0010-0000-0100-000007000000}" name="初始经验计划"/>
    <tableColumn id="8" xr3:uid="{00000000-0010-0000-0100-000008000000}" name="单组核心耗时 (s)"/>
    <tableColumn id="9" xr3:uid="{00000000-0010-0000-0100-000009000000}" name="单case纳入概率"/>
    <tableColumn id="10" xr3:uid="{00000000-0010-0000-0100-00000A000000}" name="分层汇总权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661"/>
  </sheetPr>
  <dimension ref="A1:J34"/>
  <sheetViews>
    <sheetView showGridLines="0" tabSelected="1" workbookViewId="0">
      <pane xSplit="2" ySplit="14" topLeftCell="F22" activePane="bottomRight" state="frozen"/>
      <selection pane="topRight"/>
      <selection pane="bottomLeft"/>
      <selection pane="bottomRight" activeCell="J24" sqref="J24"/>
    </sheetView>
  </sheetViews>
  <sheetFormatPr defaultRowHeight="13.8"/>
  <cols>
    <col min="1" max="1" width="13" customWidth="1"/>
    <col min="2" max="2" width="18" customWidth="1"/>
    <col min="3" max="3" width="25" customWidth="1"/>
    <col min="4" max="4" width="22" customWidth="1"/>
    <col min="5" max="5" width="19" customWidth="1"/>
    <col min="6" max="7" width="24" customWidth="1"/>
    <col min="8" max="8" width="29" customWidth="1"/>
    <col min="9" max="9" width="20" customWidth="1"/>
    <col min="10" max="10" width="46" customWidth="1"/>
  </cols>
  <sheetData>
    <row r="1" spans="1:10" ht="1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0" ht="1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spans="1:10" ht="1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0" ht="1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">
      <c r="A9" s="1" t="s">
        <v>5</v>
      </c>
      <c r="B9" s="1">
        <v>5</v>
      </c>
      <c r="C9" s="1" t="s">
        <v>6</v>
      </c>
      <c r="D9" s="1">
        <v>10</v>
      </c>
      <c r="E9" s="1" t="s">
        <v>7</v>
      </c>
      <c r="F9" s="1">
        <f>COUNT(I15:I24)</f>
        <v>8</v>
      </c>
      <c r="G9" s="1" t="s">
        <v>8</v>
      </c>
      <c r="H9" s="13">
        <f>SUM(方法与字段!H9:H13)</f>
        <v>19.311971100003575</v>
      </c>
      <c r="I9" s="1"/>
      <c r="J9" s="1"/>
    </row>
    <row r="10" spans="1:10" ht="1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48" customHeight="1">
      <c r="A14" s="4" t="s">
        <v>10</v>
      </c>
      <c r="B14" s="5" t="s">
        <v>11</v>
      </c>
      <c r="C14" s="5" t="s">
        <v>12</v>
      </c>
      <c r="D14" s="5" t="s">
        <v>13</v>
      </c>
      <c r="E14" s="5" t="s">
        <v>14</v>
      </c>
      <c r="F14" s="5" t="s">
        <v>15</v>
      </c>
      <c r="G14" s="5" t="s">
        <v>16</v>
      </c>
      <c r="H14" s="5" t="s">
        <v>17</v>
      </c>
      <c r="I14" s="5" t="s">
        <v>18</v>
      </c>
      <c r="J14" s="6" t="s">
        <v>19</v>
      </c>
    </row>
    <row r="15" spans="1:10" ht="36" customHeight="1">
      <c r="A15" s="7" t="s">
        <v>20</v>
      </c>
      <c r="B15" s="7" t="s">
        <v>21</v>
      </c>
      <c r="C15" s="7" t="s">
        <v>22</v>
      </c>
      <c r="D15" s="8" t="s">
        <v>23</v>
      </c>
      <c r="E15" s="7" t="s">
        <v>24</v>
      </c>
      <c r="F15" s="9">
        <v>43</v>
      </c>
      <c r="G15" s="9">
        <v>13</v>
      </c>
      <c r="H15" s="10">
        <f>方法与字段!H9</f>
        <v>3.9617491999961203</v>
      </c>
      <c r="I15" s="11">
        <f t="shared" ref="I15:I24" si="0">IF(AND(ISNUMBER(F15),F15&gt;0,ISNUMBER(G15),G15&gt;=0),(F15-G15)/F15,"")</f>
        <v>0.69767441860465118</v>
      </c>
      <c r="J15" s="12" t="s">
        <v>93</v>
      </c>
    </row>
    <row r="16" spans="1:10" ht="36" customHeight="1">
      <c r="A16" s="7" t="s">
        <v>25</v>
      </c>
      <c r="B16" s="7" t="s">
        <v>21</v>
      </c>
      <c r="C16" s="7" t="s">
        <v>22</v>
      </c>
      <c r="D16" s="8" t="s">
        <v>23</v>
      </c>
      <c r="E16" s="7" t="s">
        <v>26</v>
      </c>
      <c r="F16" s="9"/>
      <c r="G16" s="9">
        <v>2</v>
      </c>
      <c r="H16" s="10">
        <f>方法与字段!H9</f>
        <v>3.9617491999961203</v>
      </c>
      <c r="I16" s="11" t="str">
        <f t="shared" si="0"/>
        <v/>
      </c>
      <c r="J16" s="12" t="s">
        <v>94</v>
      </c>
    </row>
    <row r="17" spans="1:10" ht="36" customHeight="1">
      <c r="A17" s="7" t="s">
        <v>27</v>
      </c>
      <c r="B17" s="7" t="s">
        <v>28</v>
      </c>
      <c r="C17" s="7" t="s">
        <v>29</v>
      </c>
      <c r="D17" s="8" t="s">
        <v>30</v>
      </c>
      <c r="E17" s="7" t="s">
        <v>24</v>
      </c>
      <c r="F17" s="9">
        <v>43</v>
      </c>
      <c r="G17" s="9">
        <v>10</v>
      </c>
      <c r="H17" s="10">
        <f>方法与字段!H10</f>
        <v>4.1000204000010854</v>
      </c>
      <c r="I17" s="11">
        <f t="shared" si="0"/>
        <v>0.76744186046511631</v>
      </c>
      <c r="J17" s="12" t="s">
        <v>90</v>
      </c>
    </row>
    <row r="18" spans="1:10" ht="36" customHeight="1">
      <c r="A18" s="7" t="s">
        <v>31</v>
      </c>
      <c r="B18" s="7" t="s">
        <v>28</v>
      </c>
      <c r="C18" s="7" t="s">
        <v>29</v>
      </c>
      <c r="D18" s="8" t="s">
        <v>30</v>
      </c>
      <c r="E18" s="7" t="s">
        <v>26</v>
      </c>
      <c r="F18" s="9">
        <v>23</v>
      </c>
      <c r="G18" s="9">
        <v>9</v>
      </c>
      <c r="H18" s="10">
        <f>方法与字段!H10</f>
        <v>4.1000204000010854</v>
      </c>
      <c r="I18" s="11">
        <f t="shared" si="0"/>
        <v>0.60869565217391308</v>
      </c>
      <c r="J18" s="12" t="s">
        <v>91</v>
      </c>
    </row>
    <row r="19" spans="1:10" ht="36" customHeight="1">
      <c r="A19" s="7" t="s">
        <v>32</v>
      </c>
      <c r="B19" s="7" t="s">
        <v>33</v>
      </c>
      <c r="C19" s="7" t="s">
        <v>34</v>
      </c>
      <c r="D19" s="8" t="s">
        <v>23</v>
      </c>
      <c r="E19" s="7" t="s">
        <v>24</v>
      </c>
      <c r="F19" s="9">
        <v>28</v>
      </c>
      <c r="G19" s="9">
        <v>12</v>
      </c>
      <c r="H19" s="10">
        <f>方法与字段!H11</f>
        <v>3.7110569000069518</v>
      </c>
      <c r="I19" s="11">
        <f t="shared" si="0"/>
        <v>0.5714285714285714</v>
      </c>
      <c r="J19" s="12" t="s">
        <v>89</v>
      </c>
    </row>
    <row r="20" spans="1:10" ht="36" customHeight="1">
      <c r="A20" s="7" t="s">
        <v>35</v>
      </c>
      <c r="B20" s="7" t="s">
        <v>33</v>
      </c>
      <c r="C20" s="7" t="s">
        <v>34</v>
      </c>
      <c r="D20" s="8" t="s">
        <v>23</v>
      </c>
      <c r="E20" s="7" t="s">
        <v>26</v>
      </c>
      <c r="F20" s="9"/>
      <c r="G20" s="9">
        <v>12</v>
      </c>
      <c r="H20" s="10">
        <f>方法与字段!H11</f>
        <v>3.7110569000069518</v>
      </c>
      <c r="I20" s="11" t="str">
        <f t="shared" si="0"/>
        <v/>
      </c>
      <c r="J20" s="12" t="s">
        <v>92</v>
      </c>
    </row>
    <row r="21" spans="1:10" ht="36" customHeight="1">
      <c r="A21" s="7" t="s">
        <v>36</v>
      </c>
      <c r="B21" s="7" t="s">
        <v>37</v>
      </c>
      <c r="C21" s="7" t="s">
        <v>38</v>
      </c>
      <c r="D21" s="8" t="s">
        <v>39</v>
      </c>
      <c r="E21" s="7" t="s">
        <v>24</v>
      </c>
      <c r="F21" s="9">
        <v>19</v>
      </c>
      <c r="G21" s="9">
        <v>3</v>
      </c>
      <c r="H21" s="10">
        <f>方法与字段!H12</f>
        <v>3.6815017000044463</v>
      </c>
      <c r="I21" s="11">
        <f t="shared" si="0"/>
        <v>0.84210526315789469</v>
      </c>
      <c r="J21" s="12" t="s">
        <v>95</v>
      </c>
    </row>
    <row r="22" spans="1:10" ht="36" customHeight="1">
      <c r="A22" s="7" t="s">
        <v>40</v>
      </c>
      <c r="B22" s="7" t="s">
        <v>37</v>
      </c>
      <c r="C22" s="7" t="s">
        <v>38</v>
      </c>
      <c r="D22" s="8" t="s">
        <v>39</v>
      </c>
      <c r="E22" s="7" t="s">
        <v>26</v>
      </c>
      <c r="F22" s="9">
        <v>37</v>
      </c>
      <c r="G22" s="9">
        <v>8</v>
      </c>
      <c r="H22" s="10">
        <f>方法与字段!H12</f>
        <v>3.6815017000044463</v>
      </c>
      <c r="I22" s="11">
        <f t="shared" si="0"/>
        <v>0.78378378378378377</v>
      </c>
      <c r="J22" s="12" t="s">
        <v>95</v>
      </c>
    </row>
    <row r="23" spans="1:10" ht="36" customHeight="1">
      <c r="A23" s="7" t="s">
        <v>41</v>
      </c>
      <c r="B23" s="7" t="s">
        <v>42</v>
      </c>
      <c r="C23" s="7" t="s">
        <v>43</v>
      </c>
      <c r="D23" s="8" t="s">
        <v>39</v>
      </c>
      <c r="E23" s="7" t="s">
        <v>24</v>
      </c>
      <c r="F23" s="9">
        <v>33</v>
      </c>
      <c r="G23" s="9">
        <v>11</v>
      </c>
      <c r="H23" s="10">
        <f>方法与字段!H13</f>
        <v>3.8576428999949712</v>
      </c>
      <c r="I23" s="11">
        <f t="shared" si="0"/>
        <v>0.66666666666666663</v>
      </c>
      <c r="J23" s="12" t="s">
        <v>95</v>
      </c>
    </row>
    <row r="24" spans="1:10" ht="36" customHeight="1">
      <c r="A24" s="7" t="s">
        <v>44</v>
      </c>
      <c r="B24" s="7" t="s">
        <v>42</v>
      </c>
      <c r="C24" s="7" t="s">
        <v>43</v>
      </c>
      <c r="D24" s="8" t="s">
        <v>39</v>
      </c>
      <c r="E24" s="7" t="s">
        <v>26</v>
      </c>
      <c r="F24" s="9">
        <v>67</v>
      </c>
      <c r="G24" s="9">
        <v>6</v>
      </c>
      <c r="H24" s="10">
        <f>方法与字段!H13</f>
        <v>3.8576428999949712</v>
      </c>
      <c r="I24" s="11">
        <f t="shared" si="0"/>
        <v>0.91044776119402981</v>
      </c>
      <c r="J24" s="12" t="s">
        <v>95</v>
      </c>
    </row>
    <row r="25" spans="1:10" ht="1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phoneticPr fontId="6" type="noConversion"/>
  <dataValidations count="1">
    <dataValidation type="list" sqref="D15:D24" xr:uid="{00000000-0002-0000-0000-000000000000}">
      <formula1>"熟练,新手,本人"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895A8"/>
  </sheetPr>
  <dimension ref="A1:J34"/>
  <sheetViews>
    <sheetView showGridLines="0" workbookViewId="0"/>
  </sheetViews>
  <sheetFormatPr defaultRowHeight="13.8"/>
  <cols>
    <col min="1" max="1" width="10" customWidth="1"/>
    <col min="2" max="2" width="16" customWidth="1"/>
    <col min="3" max="3" width="19" customWidth="1"/>
    <col min="4" max="4" width="20" customWidth="1"/>
    <col min="5" max="5" width="23" customWidth="1"/>
    <col min="6" max="6" width="24" customWidth="1"/>
    <col min="7" max="7" width="22" customWidth="1"/>
    <col min="8" max="8" width="25" customWidth="1"/>
    <col min="9" max="10" width="23" customWidth="1"/>
  </cols>
  <sheetData>
    <row r="1" spans="1:10" ht="1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1">
      <c r="A2" s="2" t="s">
        <v>45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5">
      <c r="A4" s="1" t="s">
        <v>46</v>
      </c>
      <c r="B4" s="1"/>
      <c r="C4" s="1"/>
      <c r="D4" s="1"/>
      <c r="E4" s="1"/>
      <c r="F4" s="1"/>
      <c r="G4" s="1"/>
      <c r="H4" s="1"/>
      <c r="I4" s="1"/>
      <c r="J4" s="1"/>
    </row>
    <row r="5" spans="1:10" ht="15">
      <c r="A5" s="1" t="s">
        <v>47</v>
      </c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1" t="s">
        <v>48</v>
      </c>
      <c r="B6" s="1"/>
      <c r="C6" s="1"/>
      <c r="D6" s="1"/>
      <c r="E6" s="1"/>
      <c r="F6" s="1"/>
      <c r="G6" s="1"/>
      <c r="H6" s="1"/>
      <c r="I6" s="1"/>
      <c r="J6" s="1"/>
    </row>
    <row r="7" spans="1:10" ht="1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48" customHeight="1">
      <c r="A8" s="4" t="s">
        <v>49</v>
      </c>
      <c r="B8" s="5" t="s">
        <v>50</v>
      </c>
      <c r="C8" s="5" t="s">
        <v>51</v>
      </c>
      <c r="D8" s="5" t="s">
        <v>11</v>
      </c>
      <c r="E8" s="5" t="s">
        <v>52</v>
      </c>
      <c r="F8" s="5" t="s">
        <v>12</v>
      </c>
      <c r="G8" s="5" t="s">
        <v>53</v>
      </c>
      <c r="H8" s="5" t="s">
        <v>54</v>
      </c>
      <c r="I8" s="5" t="s">
        <v>55</v>
      </c>
      <c r="J8" s="6" t="s">
        <v>56</v>
      </c>
    </row>
    <row r="9" spans="1:10" ht="36" customHeight="1">
      <c r="A9" s="7">
        <v>1</v>
      </c>
      <c r="B9" s="7">
        <v>97</v>
      </c>
      <c r="C9" s="7" t="s">
        <v>57</v>
      </c>
      <c r="D9" s="7" t="s">
        <v>21</v>
      </c>
      <c r="E9" s="7" t="s">
        <v>58</v>
      </c>
      <c r="F9" s="7" t="s">
        <v>22</v>
      </c>
      <c r="G9" s="7" t="s">
        <v>23</v>
      </c>
      <c r="H9" s="14">
        <v>3.9617491999961203</v>
      </c>
      <c r="I9" s="15">
        <v>1.0309278350515464E-2</v>
      </c>
      <c r="J9" s="15">
        <v>0.19958847736625515</v>
      </c>
    </row>
    <row r="10" spans="1:10" ht="36" customHeight="1">
      <c r="A10" s="7">
        <v>2</v>
      </c>
      <c r="B10" s="7">
        <v>97</v>
      </c>
      <c r="C10" s="7" t="s">
        <v>59</v>
      </c>
      <c r="D10" s="7" t="s">
        <v>28</v>
      </c>
      <c r="E10" s="7" t="s">
        <v>60</v>
      </c>
      <c r="F10" s="7" t="s">
        <v>29</v>
      </c>
      <c r="G10" s="7" t="s">
        <v>30</v>
      </c>
      <c r="H10" s="14">
        <v>4.1000204000010854</v>
      </c>
      <c r="I10" s="15">
        <v>1.0309278350515464E-2</v>
      </c>
      <c r="J10" s="15">
        <v>0.19958847736625515</v>
      </c>
    </row>
    <row r="11" spans="1:10" ht="36" customHeight="1">
      <c r="A11" s="7">
        <v>3</v>
      </c>
      <c r="B11" s="7">
        <v>98</v>
      </c>
      <c r="C11" s="7" t="s">
        <v>61</v>
      </c>
      <c r="D11" s="7" t="s">
        <v>33</v>
      </c>
      <c r="E11" s="7" t="s">
        <v>62</v>
      </c>
      <c r="F11" s="7" t="s">
        <v>34</v>
      </c>
      <c r="G11" s="7" t="s">
        <v>23</v>
      </c>
      <c r="H11" s="14">
        <v>3.7110569000069518</v>
      </c>
      <c r="I11" s="15">
        <v>1.020408163265306E-2</v>
      </c>
      <c r="J11" s="15">
        <v>0.20164609053497942</v>
      </c>
    </row>
    <row r="12" spans="1:10" ht="36" customHeight="1">
      <c r="A12" s="7">
        <v>4</v>
      </c>
      <c r="B12" s="7">
        <v>97</v>
      </c>
      <c r="C12" s="7" t="s">
        <v>63</v>
      </c>
      <c r="D12" s="7" t="s">
        <v>37</v>
      </c>
      <c r="E12" s="7" t="s">
        <v>64</v>
      </c>
      <c r="F12" s="7" t="s">
        <v>38</v>
      </c>
      <c r="G12" s="7" t="s">
        <v>39</v>
      </c>
      <c r="H12" s="14">
        <v>3.6815017000044463</v>
      </c>
      <c r="I12" s="15">
        <v>1.0309278350515464E-2</v>
      </c>
      <c r="J12" s="15">
        <v>0.19958847736625515</v>
      </c>
    </row>
    <row r="13" spans="1:10" ht="36" customHeight="1">
      <c r="A13" s="7">
        <v>5</v>
      </c>
      <c r="B13" s="7">
        <v>97</v>
      </c>
      <c r="C13" s="7" t="s">
        <v>65</v>
      </c>
      <c r="D13" s="7" t="s">
        <v>42</v>
      </c>
      <c r="E13" s="7" t="s">
        <v>66</v>
      </c>
      <c r="F13" s="7" t="s">
        <v>43</v>
      </c>
      <c r="G13" s="7" t="s">
        <v>39</v>
      </c>
      <c r="H13" s="14">
        <v>3.8576428999949712</v>
      </c>
      <c r="I13" s="15">
        <v>1.0309278350515464E-2</v>
      </c>
      <c r="J13" s="15">
        <v>0.19958847736625515</v>
      </c>
    </row>
    <row r="14" spans="1:10" ht="1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43.95" customHeight="1">
      <c r="A16" s="16" t="s">
        <v>67</v>
      </c>
      <c r="B16" s="16"/>
      <c r="C16" s="16"/>
      <c r="D16" s="17" t="s">
        <v>68</v>
      </c>
      <c r="E16" s="17"/>
      <c r="F16" s="17"/>
      <c r="G16" s="17"/>
      <c r="H16" s="17"/>
      <c r="I16" s="17"/>
      <c r="J16" s="17"/>
    </row>
    <row r="17" spans="1:10" ht="43.95" customHeight="1">
      <c r="A17" s="16" t="s">
        <v>69</v>
      </c>
      <c r="B17" s="16"/>
      <c r="C17" s="16"/>
      <c r="D17" s="17" t="s">
        <v>70</v>
      </c>
      <c r="E17" s="17"/>
      <c r="F17" s="17"/>
      <c r="G17" s="17"/>
      <c r="H17" s="17"/>
      <c r="I17" s="17"/>
      <c r="J17" s="17"/>
    </row>
    <row r="18" spans="1:10" ht="43.95" customHeight="1">
      <c r="A18" s="16" t="s">
        <v>71</v>
      </c>
      <c r="B18" s="16"/>
      <c r="C18" s="16"/>
      <c r="D18" s="17" t="s">
        <v>72</v>
      </c>
      <c r="E18" s="17"/>
      <c r="F18" s="17"/>
      <c r="G18" s="17"/>
      <c r="H18" s="17"/>
      <c r="I18" s="17"/>
      <c r="J18" s="17"/>
    </row>
    <row r="19" spans="1:10" ht="43.95" customHeight="1">
      <c r="A19" s="16" t="s">
        <v>73</v>
      </c>
      <c r="B19" s="16"/>
      <c r="C19" s="16"/>
      <c r="D19" s="17" t="s">
        <v>74</v>
      </c>
      <c r="E19" s="17"/>
      <c r="F19" s="17"/>
      <c r="G19" s="17"/>
      <c r="H19" s="17"/>
      <c r="I19" s="17"/>
      <c r="J19" s="17"/>
    </row>
    <row r="20" spans="1:10" ht="43.95" customHeight="1">
      <c r="A20" s="16" t="s">
        <v>75</v>
      </c>
      <c r="B20" s="16"/>
      <c r="C20" s="16"/>
      <c r="D20" s="17" t="s">
        <v>76</v>
      </c>
      <c r="E20" s="17"/>
      <c r="F20" s="17"/>
      <c r="G20" s="17"/>
      <c r="H20" s="17"/>
      <c r="I20" s="17"/>
      <c r="J20" s="17"/>
    </row>
    <row r="21" spans="1:10" ht="43.95" customHeight="1">
      <c r="A21" s="16" t="s">
        <v>77</v>
      </c>
      <c r="B21" s="16"/>
      <c r="C21" s="16"/>
      <c r="D21" s="17" t="s">
        <v>78</v>
      </c>
      <c r="E21" s="17"/>
      <c r="F21" s="17"/>
      <c r="G21" s="17"/>
      <c r="H21" s="17"/>
      <c r="I21" s="17"/>
      <c r="J21" s="17"/>
    </row>
    <row r="22" spans="1:10" ht="43.95" customHeight="1">
      <c r="A22" s="16" t="s">
        <v>79</v>
      </c>
      <c r="B22" s="16"/>
      <c r="C22" s="16"/>
      <c r="D22" s="17" t="s">
        <v>80</v>
      </c>
      <c r="E22" s="17"/>
      <c r="F22" s="17"/>
      <c r="G22" s="17"/>
      <c r="H22" s="17"/>
      <c r="I22" s="17"/>
      <c r="J22" s="17"/>
    </row>
    <row r="23" spans="1:10" ht="43.95" customHeight="1">
      <c r="A23" s="16" t="s">
        <v>81</v>
      </c>
      <c r="B23" s="16"/>
      <c r="C23" s="16"/>
      <c r="D23" s="17" t="s">
        <v>82</v>
      </c>
      <c r="E23" s="17"/>
      <c r="F23" s="17"/>
      <c r="G23" s="17"/>
      <c r="H23" s="17"/>
      <c r="I23" s="17"/>
      <c r="J23" s="17"/>
    </row>
    <row r="24" spans="1:10" ht="43.95" customHeight="1">
      <c r="A24" s="16" t="s">
        <v>83</v>
      </c>
      <c r="B24" s="16"/>
      <c r="C24" s="16"/>
      <c r="D24" s="17" t="s">
        <v>84</v>
      </c>
      <c r="E24" s="17"/>
      <c r="F24" s="17"/>
      <c r="G24" s="17"/>
      <c r="H24" s="17"/>
      <c r="I24" s="17"/>
      <c r="J24" s="17"/>
    </row>
    <row r="25" spans="1:10" ht="43.95" customHeight="1">
      <c r="A25" s="16" t="s">
        <v>85</v>
      </c>
      <c r="B25" s="16"/>
      <c r="C25" s="16"/>
      <c r="D25" s="17" t="s">
        <v>86</v>
      </c>
      <c r="E25" s="17"/>
      <c r="F25" s="17"/>
      <c r="G25" s="17"/>
      <c r="H25" s="17"/>
      <c r="I25" s="17"/>
      <c r="J25" s="17"/>
    </row>
    <row r="26" spans="1:10" ht="43.95" customHeight="1">
      <c r="A26" s="16" t="s">
        <v>87</v>
      </c>
      <c r="B26" s="16"/>
      <c r="C26" s="16"/>
      <c r="D26" s="17" t="s">
        <v>88</v>
      </c>
      <c r="E26" s="17"/>
      <c r="F26" s="17"/>
      <c r="G26" s="17"/>
      <c r="H26" s="17"/>
      <c r="I26" s="17"/>
      <c r="J26" s="17"/>
    </row>
    <row r="27" spans="1:10" ht="1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22">
    <mergeCell ref="A25:C25"/>
    <mergeCell ref="D25:J25"/>
    <mergeCell ref="A26:C26"/>
    <mergeCell ref="D26:J26"/>
    <mergeCell ref="A22:C22"/>
    <mergeCell ref="D22:J22"/>
    <mergeCell ref="A23:C23"/>
    <mergeCell ref="D23:J23"/>
    <mergeCell ref="A24:C24"/>
    <mergeCell ref="D24:J24"/>
    <mergeCell ref="A19:C19"/>
    <mergeCell ref="D19:J19"/>
    <mergeCell ref="A20:C20"/>
    <mergeCell ref="D20:J20"/>
    <mergeCell ref="A21:C21"/>
    <mergeCell ref="D21:J21"/>
    <mergeCell ref="A16:C16"/>
    <mergeCell ref="D16:J16"/>
    <mergeCell ref="A17:C17"/>
    <mergeCell ref="D17:J17"/>
    <mergeCell ref="A18:C18"/>
    <mergeCell ref="D18:J18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成对计时</vt:lpstr>
      <vt:lpstr>方法与字段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2026-10-17T08:27:27Z</dcterms:modified>
</cp:coreProperties>
</file>